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hidePivotFieldList="1"/>
  <xr:revisionPtr revIDLastSave="0" documentId="8_{CCE71DBD-99CD-4141-B670-24B78206E2F9}" xr6:coauthVersionLast="47" xr6:coauthVersionMax="47" xr10:uidLastSave="{00000000-0000-0000-0000-000000000000}"/>
  <bookViews>
    <workbookView xWindow="240" yWindow="105" windowWidth="14805" windowHeight="8010" firstSheet="1" activeTab="1" xr2:uid="{00000000-000D-0000-FFFF-FFFF00000000}"/>
  </bookViews>
  <sheets>
    <sheet name="ТОП тендеров" sheetId="17" r:id="rId1"/>
    <sheet name="Календарь тендеров IaaS" sheetId="2" r:id="rId2"/>
    <sheet name="ИБ 2025" sheetId="15" r:id="rId3"/>
    <sheet name="ИТОГ" sheetId="9" state="hidden" r:id="rId4"/>
    <sheet name="ИБ" sheetId="11" state="hidden" r:id="rId5"/>
    <sheet name="Конкуренты" sheetId="16" r:id="rId6"/>
    <sheet name="СВОД" sheetId="13" r:id="rId7"/>
    <sheet name="Ключевые слова" sheetId="14" r:id="rId8"/>
    <sheet name="Объем Алматы" sheetId="18" r:id="rId9"/>
  </sheets>
  <definedNames>
    <definedName name="_xlnm._FilterDatabase" localSheetId="2" hidden="1">'ИБ 2025'!$A$1:$L$1</definedName>
    <definedName name="_xlnm._FilterDatabase" localSheetId="6" hidden="1">СВОД!$C$6:$G$6</definedName>
    <definedName name="_xlnm._FilterDatabase" localSheetId="0" hidden="1">'ТОП тендеров'!$A$1:$N$78</definedName>
    <definedName name="_xlnm._FilterDatabase" localSheetId="1" hidden="1">'Календарь тендеров IaaS'!$A$1:$Y$143</definedName>
    <definedName name="_xlnm._FilterDatabase" localSheetId="8" hidden="1">'Объем Алматы'!$A$1:$L$1</definedName>
  </definedNames>
  <calcPr calcId="191028"/>
  <pivotCaches>
    <pivotCache cacheId="415"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 i="17" l="1"/>
  <c r="J81" i="2"/>
  <c r="L33" i="2"/>
  <c r="F5" i="17"/>
  <c r="E18" i="17"/>
  <c r="F3" i="17"/>
  <c r="D75" i="15"/>
  <c r="E3" i="17"/>
  <c r="F4" i="17"/>
  <c r="E4" i="17"/>
  <c r="E21" i="17"/>
  <c r="E22" i="17"/>
  <c r="E25" i="17"/>
  <c r="L2" i="15"/>
  <c r="L3" i="15"/>
  <c r="F137" i="15"/>
  <c r="D32" i="15"/>
  <c r="D149" i="15"/>
  <c r="D4" i="15"/>
  <c r="F13" i="15"/>
  <c r="L50" i="15"/>
  <c r="L4" i="15"/>
  <c r="L5" i="15"/>
  <c r="L7" i="15"/>
  <c r="L8" i="15"/>
  <c r="L9" i="15"/>
  <c r="L11" i="15"/>
  <c r="L12" i="15"/>
  <c r="L13" i="15"/>
  <c r="L14" i="15"/>
  <c r="L15" i="15"/>
  <c r="L16" i="15"/>
  <c r="L17" i="15"/>
  <c r="L18" i="15"/>
  <c r="L19" i="15"/>
  <c r="L20" i="15"/>
  <c r="L21" i="15"/>
  <c r="L22" i="15"/>
  <c r="L23" i="15"/>
  <c r="L24" i="15"/>
  <c r="L25" i="15"/>
  <c r="L26" i="15"/>
  <c r="L27" i="15"/>
  <c r="L28" i="15"/>
  <c r="L29" i="15"/>
  <c r="L30" i="15"/>
  <c r="L31" i="15"/>
  <c r="L32" i="15"/>
  <c r="L33" i="15"/>
  <c r="L34" i="15"/>
  <c r="L35" i="15"/>
  <c r="L37" i="15"/>
  <c r="L39" i="15"/>
  <c r="L40" i="15"/>
  <c r="L41" i="15"/>
  <c r="L42" i="15"/>
  <c r="L43" i="15"/>
  <c r="L45" i="15"/>
  <c r="L46" i="15"/>
  <c r="L47" i="15"/>
  <c r="L48" i="15"/>
  <c r="L49" i="15"/>
  <c r="L51" i="15"/>
  <c r="L52" i="15"/>
  <c r="L53" i="15"/>
  <c r="L55" i="15"/>
  <c r="L56" i="15"/>
  <c r="L57" i="15"/>
  <c r="L58" i="15"/>
  <c r="L60" i="15"/>
  <c r="L61" i="15"/>
  <c r="L62" i="15"/>
  <c r="L64" i="15"/>
  <c r="L66" i="15"/>
  <c r="L67" i="15"/>
  <c r="L68" i="15"/>
  <c r="L69" i="15"/>
  <c r="L70" i="15"/>
  <c r="L71" i="15"/>
  <c r="L72" i="15"/>
  <c r="L73" i="15"/>
  <c r="L74" i="15"/>
  <c r="L76" i="15"/>
  <c r="L77" i="15"/>
  <c r="L78" i="15"/>
  <c r="L79" i="15"/>
  <c r="L80" i="15"/>
  <c r="L81" i="15"/>
  <c r="L82" i="15"/>
  <c r="L83" i="15"/>
  <c r="L84" i="15"/>
  <c r="L85" i="15"/>
  <c r="L86" i="15"/>
  <c r="L87" i="15"/>
  <c r="L88" i="15"/>
  <c r="L89" i="15"/>
  <c r="L91" i="15"/>
  <c r="L92" i="15"/>
  <c r="L93" i="15"/>
  <c r="L94" i="15"/>
  <c r="L95" i="15"/>
  <c r="L96" i="15"/>
  <c r="L97" i="15"/>
  <c r="L98" i="15"/>
  <c r="L99" i="15"/>
  <c r="L100" i="15"/>
  <c r="L101" i="15"/>
  <c r="L103" i="15"/>
  <c r="L104" i="15"/>
  <c r="L105" i="15"/>
  <c r="L106" i="15"/>
  <c r="L107" i="15"/>
  <c r="L108" i="15"/>
  <c r="L109" i="15"/>
  <c r="L110" i="15"/>
  <c r="L111" i="15"/>
  <c r="L112" i="15"/>
  <c r="L113" i="15"/>
  <c r="L115" i="15"/>
  <c r="L116" i="15"/>
  <c r="L117" i="15"/>
  <c r="L118" i="15"/>
  <c r="L119" i="15"/>
  <c r="L120" i="15"/>
  <c r="L121" i="15"/>
  <c r="L122" i="15"/>
  <c r="L127" i="15"/>
  <c r="L128" i="15"/>
  <c r="L129" i="15"/>
  <c r="L130" i="15"/>
  <c r="L131" i="15"/>
  <c r="L132" i="15"/>
  <c r="L133" i="15"/>
  <c r="L134" i="15"/>
  <c r="L135" i="15"/>
  <c r="L136" i="15"/>
  <c r="L137" i="15"/>
  <c r="L138" i="15"/>
  <c r="L139" i="15"/>
  <c r="L140" i="15"/>
  <c r="L141" i="15"/>
  <c r="L144" i="15"/>
  <c r="L145" i="15"/>
  <c r="L146" i="15"/>
  <c r="L147" i="15"/>
  <c r="L148" i="15"/>
  <c r="L149" i="15"/>
  <c r="F26" i="13"/>
  <c r="F9" i="13"/>
  <c r="E38" i="13"/>
  <c r="E31" i="13"/>
  <c r="F12" i="13"/>
  <c r="F15" i="13"/>
  <c r="F14" i="13"/>
  <c r="F19" i="13"/>
  <c r="X32" i="2"/>
  <c r="X5" i="2"/>
  <c r="X42" i="2"/>
  <c r="X85" i="2"/>
  <c r="X24" i="2"/>
  <c r="X19" i="2"/>
  <c r="X100" i="2"/>
  <c r="X10" i="2"/>
  <c r="X96" i="2"/>
  <c r="X57" i="2"/>
  <c r="X117" i="2"/>
  <c r="X63" i="2"/>
  <c r="X35" i="2"/>
  <c r="X64" i="2"/>
  <c r="X87" i="2"/>
  <c r="X46" i="2"/>
  <c r="X43" i="2"/>
  <c r="X25" i="2"/>
  <c r="X75" i="2"/>
  <c r="X139" i="2"/>
  <c r="X60" i="2"/>
  <c r="X33" i="2"/>
  <c r="X76" i="2"/>
  <c r="X44" i="2"/>
  <c r="X51" i="2"/>
  <c r="Y51" i="2" s="1"/>
  <c r="X16" i="2"/>
  <c r="X41" i="2"/>
  <c r="X118" i="2"/>
  <c r="X69" i="2"/>
  <c r="X17" i="2"/>
  <c r="X119" i="2"/>
  <c r="X61" i="2"/>
  <c r="X45" i="2"/>
  <c r="X56" i="2"/>
  <c r="X129" i="2"/>
  <c r="X130" i="2"/>
  <c r="X59" i="2"/>
  <c r="X28" i="2"/>
  <c r="X7" i="2"/>
  <c r="X21" i="2"/>
  <c r="X39" i="2"/>
  <c r="X53" i="2"/>
  <c r="X55" i="2"/>
  <c r="X15" i="2"/>
  <c r="X26" i="2"/>
  <c r="X18" i="2"/>
  <c r="X120" i="2"/>
  <c r="X121" i="2"/>
  <c r="X122" i="2"/>
  <c r="X123" i="2"/>
  <c r="X124" i="2"/>
  <c r="X126" i="2"/>
  <c r="X137" i="2"/>
  <c r="X132" i="2"/>
  <c r="X133" i="2"/>
  <c r="X135" i="2"/>
  <c r="X134" i="2"/>
  <c r="X40" i="2"/>
  <c r="X47" i="2"/>
  <c r="X52" i="2"/>
  <c r="X36" i="2"/>
  <c r="X62" i="2"/>
  <c r="X74" i="2"/>
  <c r="X95" i="2"/>
  <c r="X111" i="2"/>
  <c r="X127" i="2"/>
  <c r="X131" i="2"/>
  <c r="X22" i="2"/>
  <c r="X136" i="2"/>
  <c r="X80" i="2"/>
  <c r="X138" i="2"/>
  <c r="X125" i="2"/>
  <c r="X140" i="2"/>
  <c r="X141" i="2"/>
  <c r="X142" i="2"/>
  <c r="X72" i="2"/>
  <c r="X73" i="2"/>
  <c r="X82" i="2"/>
  <c r="X86" i="2"/>
  <c r="X88" i="2"/>
  <c r="X89" i="2"/>
  <c r="X102" i="2"/>
  <c r="X107" i="2"/>
  <c r="X109" i="2"/>
  <c r="X92" i="2"/>
  <c r="X94" i="2"/>
  <c r="X128" i="2"/>
  <c r="X98" i="2"/>
  <c r="X99" i="2"/>
  <c r="X103" i="2"/>
  <c r="X104" i="2"/>
  <c r="X105" i="2"/>
  <c r="X106" i="2"/>
  <c r="X110" i="2"/>
  <c r="X112" i="2"/>
  <c r="X114" i="2"/>
  <c r="X115" i="2"/>
  <c r="X4" i="2"/>
  <c r="X14" i="2"/>
  <c r="X31" i="2"/>
  <c r="X37" i="2"/>
  <c r="X48" i="2"/>
  <c r="X50" i="2"/>
  <c r="X54" i="2"/>
  <c r="X66" i="2"/>
  <c r="X68" i="2"/>
  <c r="X79" i="2"/>
  <c r="X81" i="2"/>
  <c r="X84" i="2"/>
  <c r="X90" i="2"/>
  <c r="X91" i="2"/>
  <c r="X93" i="2"/>
  <c r="X101" i="2"/>
  <c r="X108" i="2"/>
  <c r="X113" i="2"/>
  <c r="X116" i="2"/>
  <c r="F3" i="13"/>
  <c r="E3" i="13"/>
  <c r="D37" i="15"/>
  <c r="J79" i="2"/>
  <c r="C3" i="13"/>
  <c r="D38" i="13"/>
  <c r="J83" i="2"/>
  <c r="J80" i="2"/>
  <c r="F149" i="15"/>
  <c r="F148" i="15"/>
  <c r="D148" i="15"/>
  <c r="F147" i="15"/>
  <c r="D147" i="15"/>
  <c r="F146" i="15"/>
  <c r="D146" i="15"/>
  <c r="F145" i="15"/>
  <c r="D145" i="15"/>
  <c r="F144" i="15"/>
  <c r="D144" i="15"/>
  <c r="F143" i="15"/>
  <c r="D143" i="15"/>
  <c r="F142" i="15"/>
  <c r="D142" i="15"/>
  <c r="F141" i="15"/>
  <c r="D141" i="15"/>
  <c r="F140" i="15"/>
  <c r="D140" i="15"/>
  <c r="F139" i="15"/>
  <c r="D139" i="15"/>
  <c r="F138" i="15"/>
  <c r="D138" i="15"/>
  <c r="D137" i="15"/>
  <c r="F136" i="15"/>
  <c r="D136" i="15"/>
  <c r="F135" i="15"/>
  <c r="D135" i="15"/>
  <c r="F134" i="15"/>
  <c r="D134" i="15"/>
  <c r="F133" i="15"/>
  <c r="D133" i="15"/>
  <c r="F132" i="15"/>
  <c r="D132" i="15"/>
  <c r="F131" i="15"/>
  <c r="D131" i="15"/>
  <c r="F130" i="15"/>
  <c r="D130" i="15"/>
  <c r="F129" i="15"/>
  <c r="D129" i="15"/>
  <c r="F128" i="15"/>
  <c r="D128" i="15"/>
  <c r="F127" i="15"/>
  <c r="D127" i="15"/>
  <c r="F126" i="15"/>
  <c r="D126" i="15"/>
  <c r="F125" i="15"/>
  <c r="D125" i="15"/>
  <c r="F124" i="15"/>
  <c r="D124" i="15"/>
  <c r="F123" i="15"/>
  <c r="D123" i="15"/>
  <c r="F122" i="15"/>
  <c r="D122" i="15"/>
  <c r="F121" i="15"/>
  <c r="D121" i="15"/>
  <c r="F120" i="15"/>
  <c r="D120" i="15"/>
  <c r="F119" i="15"/>
  <c r="D119" i="15"/>
  <c r="F118" i="15"/>
  <c r="D118" i="15"/>
  <c r="F117" i="15"/>
  <c r="D117" i="15"/>
  <c r="F116" i="15"/>
  <c r="D116" i="15"/>
  <c r="F115" i="15"/>
  <c r="D115" i="15"/>
  <c r="F114" i="15"/>
  <c r="D114" i="15"/>
  <c r="F113" i="15"/>
  <c r="D113" i="15"/>
  <c r="F112" i="15"/>
  <c r="D112" i="15"/>
  <c r="F111" i="15"/>
  <c r="D111" i="15"/>
  <c r="F110" i="15"/>
  <c r="D110" i="15"/>
  <c r="F109" i="15"/>
  <c r="D109" i="15"/>
  <c r="F108" i="15"/>
  <c r="D108" i="15"/>
  <c r="F107" i="15"/>
  <c r="D107" i="15"/>
  <c r="F106" i="15"/>
  <c r="D106" i="15"/>
  <c r="F105" i="15"/>
  <c r="D105" i="15"/>
  <c r="F104" i="15"/>
  <c r="D104" i="15"/>
  <c r="F103" i="15"/>
  <c r="D103" i="15"/>
  <c r="F102" i="15"/>
  <c r="D102" i="15"/>
  <c r="F101" i="15"/>
  <c r="D101" i="15"/>
  <c r="F100" i="15"/>
  <c r="D100" i="15"/>
  <c r="F99" i="15"/>
  <c r="D99" i="15"/>
  <c r="F98" i="15"/>
  <c r="D98" i="15"/>
  <c r="F97" i="15"/>
  <c r="D97" i="15"/>
  <c r="F96" i="15"/>
  <c r="D96" i="15"/>
  <c r="F95" i="15"/>
  <c r="D95" i="15"/>
  <c r="F94" i="15"/>
  <c r="D94" i="15"/>
  <c r="F93" i="15"/>
  <c r="D93" i="15"/>
  <c r="F92" i="15"/>
  <c r="D92" i="15"/>
  <c r="F91" i="15"/>
  <c r="D91" i="15"/>
  <c r="F90" i="15"/>
  <c r="D90" i="15"/>
  <c r="F89" i="15"/>
  <c r="D89" i="15"/>
  <c r="F88" i="15"/>
  <c r="D88" i="15"/>
  <c r="F87" i="15"/>
  <c r="D87" i="15"/>
  <c r="F86" i="15"/>
  <c r="D86" i="15"/>
  <c r="F85" i="15"/>
  <c r="D85" i="15"/>
  <c r="F84" i="15"/>
  <c r="D84" i="15"/>
  <c r="F83" i="15"/>
  <c r="D83" i="15"/>
  <c r="F82" i="15"/>
  <c r="D82" i="15"/>
  <c r="F81" i="15"/>
  <c r="D81" i="15"/>
  <c r="F80" i="15"/>
  <c r="D80" i="15"/>
  <c r="F79" i="15"/>
  <c r="D79" i="15"/>
  <c r="F78" i="15"/>
  <c r="D78" i="15"/>
  <c r="F77" i="15"/>
  <c r="D77" i="15"/>
  <c r="F76" i="15"/>
  <c r="D76" i="15"/>
  <c r="F75" i="15"/>
  <c r="F74" i="15"/>
  <c r="D74" i="15"/>
  <c r="F73" i="15"/>
  <c r="D73" i="15"/>
  <c r="F72" i="15"/>
  <c r="D72" i="15"/>
  <c r="F71" i="15"/>
  <c r="D71" i="15"/>
  <c r="F70" i="15"/>
  <c r="D70" i="15"/>
  <c r="F69" i="15"/>
  <c r="D69" i="15"/>
  <c r="F68" i="15"/>
  <c r="D68" i="15"/>
  <c r="F67" i="15"/>
  <c r="D67" i="15"/>
  <c r="F66" i="15"/>
  <c r="D66" i="15"/>
  <c r="F65" i="15"/>
  <c r="D65" i="15"/>
  <c r="F64" i="15"/>
  <c r="D64" i="15"/>
  <c r="F63" i="15"/>
  <c r="D63" i="15"/>
  <c r="F62" i="15"/>
  <c r="D62" i="15"/>
  <c r="F61" i="15"/>
  <c r="D61" i="15"/>
  <c r="F60" i="15"/>
  <c r="D60" i="15"/>
  <c r="F59" i="15"/>
  <c r="D59" i="15"/>
  <c r="F58" i="15"/>
  <c r="D58" i="15"/>
  <c r="F57" i="15"/>
  <c r="D57" i="15"/>
  <c r="F56" i="15"/>
  <c r="D56" i="15"/>
  <c r="F55" i="15"/>
  <c r="D55" i="15"/>
  <c r="F54" i="15"/>
  <c r="D54" i="15"/>
  <c r="F53" i="15"/>
  <c r="D53" i="15"/>
  <c r="F52" i="15"/>
  <c r="D52" i="15"/>
  <c r="F51" i="15"/>
  <c r="D51" i="15"/>
  <c r="F50" i="15"/>
  <c r="D50" i="15"/>
  <c r="F49" i="15"/>
  <c r="D49" i="15"/>
  <c r="F48" i="15"/>
  <c r="D48" i="15"/>
  <c r="F47" i="15"/>
  <c r="D47" i="15"/>
  <c r="F46" i="15"/>
  <c r="D46" i="15"/>
  <c r="F45" i="15"/>
  <c r="D45" i="15"/>
  <c r="F44" i="15"/>
  <c r="D44" i="15"/>
  <c r="F43" i="15"/>
  <c r="D43" i="15"/>
  <c r="F42" i="15"/>
  <c r="D42" i="15"/>
  <c r="F41" i="15"/>
  <c r="F40" i="15"/>
  <c r="D40" i="15"/>
  <c r="F39" i="15"/>
  <c r="D39" i="15"/>
  <c r="F38" i="15"/>
  <c r="D38" i="15"/>
  <c r="F37" i="15"/>
  <c r="F36" i="15"/>
  <c r="D36" i="15"/>
  <c r="F35" i="15"/>
  <c r="D35" i="15"/>
  <c r="F34" i="15"/>
  <c r="D34" i="15"/>
  <c r="F33" i="15"/>
  <c r="D33" i="15"/>
  <c r="F32" i="15"/>
  <c r="F31" i="15"/>
  <c r="D31" i="15"/>
  <c r="F30" i="15"/>
  <c r="D30" i="15"/>
  <c r="F29" i="15"/>
  <c r="D29" i="15"/>
  <c r="F28" i="15"/>
  <c r="D28" i="15"/>
  <c r="F27" i="15"/>
  <c r="D27" i="15"/>
  <c r="F26" i="15"/>
  <c r="D26" i="15"/>
  <c r="F25" i="15"/>
  <c r="D25" i="15"/>
  <c r="F24" i="15"/>
  <c r="D24" i="15"/>
  <c r="F23" i="15"/>
  <c r="D23" i="15"/>
  <c r="F22" i="15"/>
  <c r="D22" i="15"/>
  <c r="F21" i="15"/>
  <c r="D21" i="15"/>
  <c r="F20" i="15"/>
  <c r="D20" i="15"/>
  <c r="F19" i="15"/>
  <c r="D19" i="15"/>
  <c r="F18" i="15"/>
  <c r="D18" i="15"/>
  <c r="F17" i="15"/>
  <c r="D17" i="15"/>
  <c r="F16" i="15"/>
  <c r="D16" i="15"/>
  <c r="F15" i="15"/>
  <c r="D15" i="15"/>
  <c r="F14" i="15"/>
  <c r="D14" i="15"/>
  <c r="D13" i="15"/>
  <c r="F12" i="15"/>
  <c r="D12" i="15"/>
  <c r="F11" i="15"/>
  <c r="D11" i="15"/>
  <c r="F10" i="15"/>
  <c r="F9" i="15"/>
  <c r="D9" i="15"/>
  <c r="F8" i="15"/>
  <c r="D8" i="15"/>
  <c r="F7" i="15"/>
  <c r="D7" i="15"/>
  <c r="F6" i="15"/>
  <c r="D6" i="15"/>
  <c r="F5" i="15"/>
  <c r="D5" i="15"/>
  <c r="F4" i="15"/>
  <c r="F3" i="15"/>
  <c r="D3" i="15"/>
  <c r="F2" i="15"/>
  <c r="D2" i="15"/>
  <c r="J116" i="2"/>
  <c r="L113" i="2"/>
  <c r="J113" i="2"/>
  <c r="L108" i="2"/>
  <c r="J108" i="2"/>
  <c r="L101" i="2"/>
  <c r="J101" i="2"/>
  <c r="J97" i="2"/>
  <c r="J93" i="2"/>
  <c r="J91" i="2"/>
  <c r="L90" i="2"/>
  <c r="J90" i="2"/>
  <c r="J84" i="2"/>
  <c r="L83" i="2"/>
  <c r="L81" i="2"/>
  <c r="L79" i="2"/>
  <c r="L77" i="2"/>
  <c r="J77" i="2"/>
  <c r="J68" i="2"/>
  <c r="L66" i="2"/>
  <c r="J66" i="2"/>
  <c r="J54" i="2"/>
  <c r="J50" i="2"/>
  <c r="J48" i="2"/>
  <c r="J37" i="2"/>
  <c r="J31" i="2"/>
  <c r="J20" i="2"/>
  <c r="J14" i="2"/>
  <c r="J11" i="2"/>
  <c r="J8" i="2"/>
  <c r="J4" i="2"/>
  <c r="J3" i="2"/>
  <c r="J71" i="2"/>
  <c r="J115" i="2"/>
  <c r="J114" i="2"/>
  <c r="J112" i="2"/>
  <c r="J110" i="2"/>
  <c r="J106" i="2"/>
  <c r="J105" i="2"/>
  <c r="J104" i="2"/>
  <c r="J103" i="2"/>
  <c r="J99" i="2"/>
  <c r="J98" i="2"/>
  <c r="J128" i="2"/>
  <c r="J94" i="2"/>
  <c r="J92" i="2"/>
  <c r="J109" i="2"/>
  <c r="J107" i="2"/>
  <c r="J102" i="2"/>
  <c r="J89" i="2"/>
  <c r="J88" i="2"/>
  <c r="J86" i="2"/>
  <c r="J82" i="2"/>
  <c r="J73" i="2"/>
  <c r="J72" i="2"/>
  <c r="J142" i="2"/>
  <c r="J141" i="2"/>
  <c r="J140" i="2"/>
  <c r="J125" i="2"/>
  <c r="J138" i="2"/>
  <c r="J136" i="2"/>
  <c r="L22" i="2"/>
  <c r="J22" i="2"/>
  <c r="J131" i="2"/>
  <c r="J127" i="2"/>
  <c r="J111" i="2"/>
  <c r="J95" i="2"/>
  <c r="J74" i="2"/>
  <c r="J62" i="2"/>
  <c r="J36" i="2"/>
  <c r="L52" i="2"/>
  <c r="J52" i="2"/>
  <c r="L47" i="2"/>
  <c r="J47" i="2"/>
  <c r="J40" i="2"/>
  <c r="J134" i="2"/>
  <c r="J135" i="2"/>
  <c r="L133" i="2"/>
  <c r="J133" i="2"/>
  <c r="J132" i="2"/>
  <c r="J137" i="2"/>
  <c r="J126" i="2"/>
  <c r="J124" i="2"/>
  <c r="J123" i="2"/>
  <c r="J122" i="2"/>
  <c r="J121" i="2"/>
  <c r="J120" i="2"/>
  <c r="J18" i="2"/>
  <c r="J26" i="2"/>
  <c r="J15" i="2"/>
  <c r="L55" i="2"/>
  <c r="J55" i="2"/>
  <c r="J53" i="2"/>
  <c r="J39" i="2"/>
  <c r="J21" i="2"/>
  <c r="J7" i="2"/>
  <c r="J28" i="2"/>
  <c r="J59" i="2"/>
  <c r="J130" i="2"/>
  <c r="J129" i="2"/>
  <c r="J56" i="2"/>
  <c r="G7" i="11"/>
  <c r="H7" i="11"/>
  <c r="E15" i="11"/>
  <c r="G15" i="11"/>
  <c r="H15" i="11"/>
  <c r="E14" i="11"/>
  <c r="G14" i="11"/>
  <c r="H14" i="11"/>
  <c r="E13" i="11"/>
  <c r="G13" i="11"/>
  <c r="H13" i="11"/>
  <c r="E12" i="11"/>
  <c r="G12" i="11"/>
  <c r="H12" i="11"/>
  <c r="E10" i="11"/>
  <c r="G10" i="11"/>
  <c r="H10" i="11"/>
  <c r="E11" i="11"/>
  <c r="G11" i="11"/>
  <c r="H11" i="11"/>
  <c r="E9" i="11"/>
  <c r="G9" i="11"/>
  <c r="H9" i="11"/>
  <c r="E8" i="11"/>
  <c r="G8" i="11"/>
  <c r="H8" i="11"/>
  <c r="E6" i="11"/>
  <c r="G6" i="11"/>
  <c r="H6" i="11"/>
  <c r="E5" i="11"/>
  <c r="G5" i="11"/>
  <c r="H5" i="11"/>
  <c r="E4" i="11"/>
  <c r="G4" i="11"/>
  <c r="H4" i="11"/>
  <c r="E2" i="11"/>
  <c r="G2" i="11"/>
  <c r="H2" i="11"/>
  <c r="E3" i="11"/>
  <c r="G3" i="11"/>
  <c r="H3" i="11"/>
  <c r="Z44" i="2" l="1"/>
  <c r="Z60" i="2"/>
  <c r="Z8" i="2"/>
  <c r="Y3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tc={1A821B68-50C9-450D-98E1-81D8B001C3B3}</author>
    <author>tc={36C60636-6F92-46AD-BF96-CC415A8D2FBD}</author>
    <author>tc={9CF2DAC3-90AD-4319-AA1F-D427F2316E64}</author>
  </authors>
  <commentList>
    <comment ref="U46" authorId="0" shapeId="0" xr:uid="{1A821B68-50C9-450D-98E1-81D8B001C3B3}">
      <text>
        <t>[Threaded comment]
Your version of Excel allows you to read this threaded comment; however, any edits to it will get removed if the file is opened in a newer version of Excel. Learn more: https://go.microsoft.com/fwlink/?linkid=870924
Comment:
    @Қожабеков Ғани Бахытжанұлы уточнить</t>
      </text>
    </comment>
    <comment ref="U78" authorId="1" shapeId="0" xr:uid="{36C60636-6F92-46AD-BF96-CC415A8D2FBD}">
      <text>
        <t xml:space="preserve">[Threaded comment]
Your version of Excel allows you to read this threaded comment; however, any edits to it will get removed if the file is opened in a newer version of Excel. Learn more: https://go.microsoft.com/fwlink/?linkid=870924
Comment:
    @Қожабеков Ғани Бахытжанұлы уточнить у Данары
</t>
      </text>
    </comment>
    <comment ref="U96" authorId="2" shapeId="0" xr:uid="{9CF2DAC3-90AD-4319-AA1F-D427F2316E64}">
      <text>
        <t xml:space="preserve">[Threaded comment]
Your version of Excel allows you to read this threaded comment; however, any edits to it will get removed if the file is opened in a newer version of Excel. Learn more: https://go.microsoft.com/fwlink/?linkid=870924
Comment:
    @Абильбеков Баглан Жумаханович Уточнить какое ПО
</t>
      </text>
    </comment>
  </commentList>
</comments>
</file>

<file path=xl/sharedStrings.xml><?xml version="1.0" encoding="utf-8"?>
<sst xmlns="http://schemas.openxmlformats.org/spreadsheetml/2006/main" count="2652" uniqueCount="1194">
  <si>
    <t>Дата</t>
  </si>
  <si>
    <t>Выделенная сумма тендера</t>
  </si>
  <si>
    <t xml:space="preserve">Сумма </t>
  </si>
  <si>
    <t>Заказчик</t>
  </si>
  <si>
    <t>Наименование тендера</t>
  </si>
  <si>
    <t>Площадка закупки</t>
  </si>
  <si>
    <t xml:space="preserve">Победитель </t>
  </si>
  <si>
    <t>Менеджер тендерного</t>
  </si>
  <si>
    <t>Статус менеджера</t>
  </si>
  <si>
    <t>Статус тендерного отдела</t>
  </si>
  <si>
    <t>Хантер</t>
  </si>
  <si>
    <t>Задача</t>
  </si>
  <si>
    <t>Сроки</t>
  </si>
  <si>
    <t>План закупок</t>
  </si>
  <si>
    <t>"Жасыл даму"</t>
  </si>
  <si>
    <t>Услуги аренды сервернерной инфраструктуры</t>
  </si>
  <si>
    <t>Goszakup</t>
  </si>
  <si>
    <t xml:space="preserve"> ТОО "QazCloud (КазКлауд)"</t>
  </si>
  <si>
    <t>Алибек</t>
  </si>
  <si>
    <t>Астана. Не рентабельный, РС и ФМ приложены</t>
  </si>
  <si>
    <t>Июль назначить встречу переделать ТС с Астаны на Алмату с резервом в Жез или Атырау. Контакты у Алибека есть.</t>
  </si>
  <si>
    <t>01.04.2026</t>
  </si>
  <si>
    <t xml:space="preserve">Будет тендер 2027 на сумму 74 657 920 на год в апреле месяце.
</t>
  </si>
  <si>
    <t>https://freedomholdingcorporation.sharepoint.com/:f:/s/FreedomCloud464/IgC2ycIC1sXSRJFEJb1zEj8EAfS08dzGAsM4qSCaVJbpfvo?e=3qHRjb</t>
  </si>
  <si>
    <t>АКЦИОНЕРНОЕ ОБЩЕСТВО КАРАЖАНБАСМУНАЙ</t>
  </si>
  <si>
    <t>Алибек/Жигер</t>
  </si>
  <si>
    <t>ТС НАША
ЦОД В Мангыстау - заточка. РС и ФМ просчитаны</t>
  </si>
  <si>
    <t>АКЦИОНЕРНОЕ ОБЩЕСТВО МАНГИСТАУМУНАЙГАЗ</t>
  </si>
  <si>
    <t>Зайти сверху. РС и ФМ расчитаны, необходимо L3VPN</t>
  </si>
  <si>
    <t>Китаец руководители не берет трубки</t>
  </si>
  <si>
    <t>ТОВАРИЩЕСТВО С ОГРАНИЧЕННОЙ ОТВЕТСТВЕННОСТЬЮ КАЗМУНАЙГАЗ-АЭРО</t>
  </si>
  <si>
    <t>Услуги по аренде виртуального выделенного сервера (VPS)</t>
  </si>
  <si>
    <t>ТОО "QazCloud"</t>
  </si>
  <si>
    <t>РС и ФМ расчитаны
Найти директора.</t>
  </si>
  <si>
    <t>Ожидаем контакты от Анвара</t>
  </si>
  <si>
    <t>10.04.2026</t>
  </si>
  <si>
    <t>ЕНПФ</t>
  </si>
  <si>
    <t>https://tenderplus.kz/zakupki/49130850</t>
  </si>
  <si>
    <t>Анвар/Гани</t>
  </si>
  <si>
    <t>Гани</t>
  </si>
  <si>
    <t>Савчин должен организовать встречу</t>
  </si>
  <si>
    <t>АО «Alatau City Bank»</t>
  </si>
  <si>
    <t>mp.kz + eep.mitwork.kz</t>
  </si>
  <si>
    <t>АО «ForteBank»</t>
  </si>
  <si>
    <t>mp.kz</t>
  </si>
  <si>
    <t>Артур / Данара</t>
  </si>
  <si>
    <t>АО «Банк «Bank RBK»</t>
  </si>
  <si>
    <t>ТОО «Вайлдберриз»</t>
  </si>
  <si>
    <t>https://datacenters.wildberries.ru/</t>
  </si>
  <si>
    <t>ТОО «FLIP.KZ</t>
  </si>
  <si>
    <t>goszakup.gov.kz + прямые</t>
  </si>
  <si>
    <t>АО «Агентство «Хабар»»</t>
  </si>
  <si>
    <t>goszakup.gov.kz</t>
  </si>
  <si>
    <t>ТОО «ТРК 31 канал»</t>
  </si>
  <si>
    <t>31.kz/ru/tenders + tender@31.kz</t>
  </si>
  <si>
    <t>ТОО «КТК»</t>
  </si>
  <si>
    <t>ТОО «Независимый Телевизионный Канал</t>
  </si>
  <si>
    <t>АКЦИОНЕРНОЕ ОБЩЕСТВО ИНФОРМАЦИОННО-УЧЕТНЫЙ ЦЕНТР</t>
  </si>
  <si>
    <t>Услуги по аренде серверного оборудования</t>
  </si>
  <si>
    <t>ТОО "Clever Security"</t>
  </si>
  <si>
    <t>Есть справка по тендеру и по клиенту</t>
  </si>
  <si>
    <t>проработать ТС, выйти на клиента</t>
  </si>
  <si>
    <t>Январь 2027 года</t>
  </si>
  <si>
    <t>ГУ «УПРАВЛЕНИЕ ГОСУДАРСТВЕННЫХ ЗАКУПОК ПАВЛОДАРСКОЙ ОБЛАСТИ»</t>
  </si>
  <si>
    <t>=ГИПЕРССЫЛКА("https://'https://freedomholdingcorporation-my.sharepoint.com/personal/alibek_nespekov_fcd_kz/Documents/[Реестр запросов ЛПР.xlsx]РЕЕСТР'!$G$10","Услуги по аренде виртуального выделенного сервера (VPS)")</t>
  </si>
  <si>
    <t>АО "Транстелеком"</t>
  </si>
  <si>
    <t>РС ФМ просчитаны</t>
  </si>
  <si>
    <t>Ерсултан</t>
  </si>
  <si>
    <t>Отсутствует в плане закупок</t>
  </si>
  <si>
    <t>ТОВАРИЩЕСТВО С ОГРАНИЧЕННОЙ ОТВЕТСТВЕННОСТЬЮ БАЙКЕН-U</t>
  </si>
  <si>
    <t>Товарищество с
ограниченной
ответственностью "KAP
Technology"</t>
  </si>
  <si>
    <t>РС и ФМ расчитаны
Дочка Казатомпром, продавали KAP
Technology - они закупают у QazCloud</t>
  </si>
  <si>
    <t>Ожидаем встречу от Анвара по KAP Technology</t>
  </si>
  <si>
    <t>АО НАЦИОНАЛЬНЫЙ ЦЕНТР ГОСУДАРСТВЕННОЙ НАУЧНО-ТЕХНИЧЕСКОЙ ЭКСПЕРТИЗЫ</t>
  </si>
  <si>
    <t>=ГИПЕРССЫЛКА("https://'https://freedomholdingcorporation-my.sharepoint.com/personal/alibek_nespekov_fcd_kz/Documents/[Реестр запросов ЛПР.xlsx]РЕЕСТР'!$F$12","Услуги по аренде виртуального выделенного сервера (VPS)")</t>
  </si>
  <si>
    <t>ТОО "Облачные решения"</t>
  </si>
  <si>
    <t>РС и ФМ расчитаны
Будет опубликован в 2027 году январь</t>
  </si>
  <si>
    <t>Январь 2027 года, общий объем 11,6 млн тенге</t>
  </si>
  <si>
    <t>АВТОНОМНЫЙ КЛАСТЕРНЫЙ ФОНД ПАРК ИННОВАЦИОННЫХ ТЕХНОЛОГИЙ</t>
  </si>
  <si>
    <t xml:space="preserve">  Услуги виртуального сервера (VPS) по модели IaaS</t>
  </si>
  <si>
    <t>Mitwork</t>
  </si>
  <si>
    <t>ТОО "QazStack"</t>
  </si>
  <si>
    <t>Данай/Елдана</t>
  </si>
  <si>
    <t>РС ФМ просчитаны, справка имеется, прорабатываем с Заказчиком</t>
  </si>
  <si>
    <t>Данай</t>
  </si>
  <si>
    <t>Готовим КП для тендера (текущий QazTech) - 71 млн на год</t>
  </si>
  <si>
    <t>КОММУНАЛЬНОЕ ГОСУДАРСТВЕННОЕ УЧРЕЖДЕНИЕ УПРАВЛЕНИЕ ГОСУДАРСТВЕННЫХ ЗАКУПОК АКИМАТА ЖАМБЫЛСКОЙ ОБЛАСТИ</t>
  </si>
  <si>
    <t xml:space="preserve">	TOO "SarDala.com"</t>
  </si>
  <si>
    <t>Ельдана/Ерсултан</t>
  </si>
  <si>
    <r>
      <rPr>
        <sz val="11"/>
        <color rgb="FF000000"/>
        <rFont val="Calibri"/>
      </rPr>
      <t xml:space="preserve">Имеется справка по заказчику, 15.05 уточнить статус по взаимодействию. </t>
    </r>
    <r>
      <rPr>
        <b/>
        <sz val="11"/>
        <color rgb="FF000000"/>
        <rFont val="Calibri"/>
      </rPr>
      <t>Статус на 09.06: На текущий момент имеется прямой выход на руководителя Упр.цифр Области, с теккущей загруженностью не успеваю отработать и слетать 
Подвязка с информ системой</t>
    </r>
  </si>
  <si>
    <t>Проработать повторто ТС</t>
  </si>
  <si>
    <t>НЕКОММЕРЧЕСКОЕ АО ФОНД СОЦИАЛЬНОГО МЕДИЦИНСКОГО СТРАХОВАНИЯ</t>
  </si>
  <si>
    <r>
      <rPr>
        <sz val="11"/>
        <color rgb="FF000000"/>
        <rFont val="Calibri"/>
      </rPr>
      <t xml:space="preserve">РС и ФМ просчитаны, в ТС прописано основной ЦОД в г. Астана или в радиусе 50 км, уточнить статус на 01.05. 
</t>
    </r>
    <r>
      <rPr>
        <b/>
        <sz val="11"/>
        <color rgb="FF000000"/>
        <rFont val="Calibri"/>
      </rPr>
      <t xml:space="preserve">Статус на 09.06: На текущий момент производился выход через Константина Сивохха на человека с ИТ отдела в данной организации, контакт так и не вернулся с ОС, на текущий момент прорабатывается выход через личные кканалы </t>
    </r>
  </si>
  <si>
    <t>необходимо прорботать ТС повторно с Тех блоком и выйти на клиента для уточнения деталей ПО</t>
  </si>
  <si>
    <t>ГОСУДАРСТВЕННОЕ УЧРЕЖДЕНИЕ ОТДЕЛ ЭКОНОМИКИ И ФИНАНСОВ АБАЙСКОГО РАЙОНА</t>
  </si>
  <si>
    <t>ТОО "Cosmos Group"</t>
  </si>
  <si>
    <t>Ерсултан/Жигер</t>
  </si>
  <si>
    <r>
      <rPr>
        <sz val="11"/>
        <color rgb="FF000000"/>
        <rFont val="Aptos Narrow"/>
        <scheme val="minor"/>
      </rPr>
      <t xml:space="preserve">Закупается видеонаблюдение, в связи с этим невозможно расчитать РСФМ. </t>
    </r>
    <r>
      <rPr>
        <b/>
        <sz val="11"/>
        <color rgb="FF000000"/>
        <rFont val="Aptos Narrow"/>
        <scheme val="minor"/>
      </rPr>
      <t>Статус 09.06 данный клиент не прорабатывлся как отдельная организация, так как мы общаемся с Акиматом области.</t>
    </r>
  </si>
  <si>
    <t>РГП НА ПРАВЕ ХОЗЯЙСТВЕННОГО ВЕДЕНИЯ НАЦИОНАЛЬНЫЙ ЦЕНТР ЭКСПЕРТИЗЫ ЛЕКАРСТВЕННЫХ СРЕДСТВ И МЕДИЦИНСКИХ ИЗДЕЛИЙ КОМИТЕТА МЕДИЦИНСКОГО И ФАРМАЦЕВТИЧЕСКОГО КОНТРОЛЯ МИНИСТЕРСТВА ЗДРАВООХРАНЕНИЯ РЕСПУБЛИКИ КАЗАХСТ...</t>
  </si>
  <si>
    <t>=ГИПЕРССЫЛКА("https://'https://freedomholdingcorporation-my.sharepoint.com/personal/alibek_nespekov_fcd_kz/Documents/[Реестр запросов ЛПР.xlsx]РЕЕСТР'!$F$13","Услуги по аренде виртуального выделенного сервера (VPS) Услуги по аренде виртуального выделенного сервера (VPS)")</t>
  </si>
  <si>
    <t>АО "НИТ"</t>
  </si>
  <si>
    <t>Жигер</t>
  </si>
  <si>
    <t>РС и ФМ просчитаны, необходим Service desk</t>
  </si>
  <si>
    <t xml:space="preserve"> расчет РС ФМ, далее принятие решения</t>
  </si>
  <si>
    <t>В плане закупок указан тендер на сумму 58 782 283 тг, планируется публикация на апрель месяц. статус на 04.06.2026 - тендер не опубликован</t>
  </si>
  <si>
    <t>НЕКОММЕРЧЕСКОЕ АО «ИНФОРМАЦИОННО-АНАЛИТИЧЕСКИЙ ЦЕНТР ВОДНЫХ РЕСУРСОВ»</t>
  </si>
  <si>
    <t>ТОО "DataLine24"</t>
  </si>
  <si>
    <t xml:space="preserve"> необходимо проработать ТС по доп сервисам с Тех специалистами</t>
  </si>
  <si>
    <t>АО НАЦИОНАЛЬНЫЙ ЦЕНТР ПОВЫШЕНИЯ КВАЛИФИКАЦИИ ӨРЛЕУ</t>
  </si>
  <si>
    <t>=ГИПЕРССЫЛКА("https://'https://freedomholdingcorporation-my.sharepoint.com/personal/alibek_nespekov_fcd_kz/Documents/[Реестр запросов ЛПР.xlsx]РЕЕСТР'!$F$15","Услуги по аренде виртуального выделенного сервера (VPS)")</t>
  </si>
  <si>
    <t xml:space="preserve">	АО «Казтелепорт»</t>
  </si>
  <si>
    <t>РС и ФМ расчитаны, необходимо NGFW</t>
  </si>
  <si>
    <t>Баглан</t>
  </si>
  <si>
    <t>Январь 2027 года, общий объем 75 млн тенге</t>
  </si>
  <si>
    <t>АКЦИОНЕРНОЕ ОБЩЕСТВО КЕДЕНТРАНССЕРВИС</t>
  </si>
  <si>
    <t>Услуги по предоставлению вычислительных мощностей для физического размещения информации на сервере, постоянно находящемся в сети Интернет</t>
  </si>
  <si>
    <t>Самрук-Казына</t>
  </si>
  <si>
    <t>РС и ФМ расчитаны</t>
  </si>
  <si>
    <t>Жигер / Алибек</t>
  </si>
  <si>
    <t>КТЖ решает</t>
  </si>
  <si>
    <t>АО "ЖССБ "ОТБАСЫ БАНК"</t>
  </si>
  <si>
    <t>АО Air Astana</t>
  </si>
  <si>
    <t>SAP Ariba
https://tender.airastana.com/en/lots?utm_source=chatgpt.com</t>
  </si>
  <si>
    <t xml:space="preserve"> АО АК SCAT</t>
  </si>
  <si>
    <t>АО АК Жетысу</t>
  </si>
  <si>
    <t>АО Qazaq Air</t>
  </si>
  <si>
    <t>https://tenderplus.kz/zakupki/48244567</t>
  </si>
  <si>
    <t>АО FlyArystan</t>
  </si>
  <si>
    <t>АО Казавиаспас</t>
  </si>
  <si>
    <t>https://tenderplus.kz/zakupki/37969534</t>
  </si>
  <si>
    <t xml:space="preserve"> ТОО Навигатор</t>
  </si>
  <si>
    <t>ТОО Орлан-2000</t>
  </si>
  <si>
    <t>ТОО АК ЛЦ «Тянь-Шань»</t>
  </si>
  <si>
    <t>ТОО Q-AVIA</t>
  </si>
  <si>
    <t>ТОО «Авиакомпания Южное небо»</t>
  </si>
  <si>
    <t>АО «Жезказган Эйр»</t>
  </si>
  <si>
    <t>J.V. Coca-Cola Almaty Bottlers LLP</t>
  </si>
  <si>
    <t>АО GALANZ bottlers</t>
  </si>
  <si>
    <t>Raimbek Bottlers</t>
  </si>
  <si>
    <t>Efes Kazakhstan</t>
  </si>
  <si>
    <t>Carlsberg Kazakhstan</t>
  </si>
  <si>
    <t>FoodMaster</t>
  </si>
  <si>
    <t>Raimbek Agro / бренд «Айналайын»</t>
  </si>
  <si>
    <t>Mars Kazakhstan</t>
  </si>
  <si>
    <t>https://supplier.mars.com/</t>
  </si>
  <si>
    <t>Mondelez Kazakhstan LLP</t>
  </si>
  <si>
    <t>https://www.mondelezinternational.com/procurement/</t>
  </si>
  <si>
    <t>Nestlé Food Kazakhstan LLP</t>
  </si>
  <si>
    <t>https://www.nestle.com/info/suppliers</t>
  </si>
  <si>
    <t>P&amp;G Kazakhstan</t>
  </si>
  <si>
    <t>https://pgsupplier.com/</t>
  </si>
  <si>
    <t>JTI Kazakhstan</t>
  </si>
  <si>
    <t>https://www.jti.com/en/our-business/responsible-procurement</t>
  </si>
  <si>
    <t>ТОО «Бритиш Американ Тобакко Казахстан Трейдинг»</t>
  </si>
  <si>
    <t>https://www.bat.com/contact-us</t>
  </si>
  <si>
    <t>ТОО Hyundai Trans Kazakhstan</t>
  </si>
  <si>
    <t>АО KAMAZ-Engineering</t>
  </si>
  <si>
    <t>ТОО «СемАЗ»</t>
  </si>
  <si>
    <t>АО «АЛСЕКО»</t>
  </si>
  <si>
    <t>ТОО «Астана-ЕРЦ»</t>
  </si>
  <si>
    <t>KASE</t>
  </si>
  <si>
    <t>https://tenderplus.kz/zakupki/35623273</t>
  </si>
  <si>
    <t>AIX</t>
  </si>
  <si>
    <t>International Trading System (ITS)</t>
  </si>
  <si>
    <t>JSC “Caspy” Commodity Exchange</t>
  </si>
  <si>
    <t>ТОО «KT&amp;G Kazakhstan»</t>
  </si>
  <si>
    <t>АО «Международный аэропорт Нурсултан Назарбаев» (Астана)</t>
  </si>
  <si>
    <t>Аэропорт Кокшетау, филиал АО «Международный аэропорт Нурсултан Назарбаев»</t>
  </si>
  <si>
    <t>АО «Международный аэропорт Алия Молдагулова» (Актобе)</t>
  </si>
  <si>
    <t>АО «Аэропорт Павлодар»</t>
  </si>
  <si>
    <t>АО «Международный аэропорт “Костанай” имени Ахмета Байтұрсынұлы»</t>
  </si>
  <si>
    <t>АО «Аэропорт Усть-Каменогорск»</t>
  </si>
  <si>
    <t>ТОО «Международный аэропорт Семей»</t>
  </si>
  <si>
    <t>АО «Аэропорт Шымкент»</t>
  </si>
  <si>
    <t>АО «Аэропорт “Коркыт Ата”» (Кызылорда)</t>
  </si>
  <si>
    <t>https://tenderplus.kz/zakupki/48646224</t>
  </si>
  <si>
    <t>АО «Международный аэропорт Туркестан»</t>
  </si>
  <si>
    <t>https://tenderplus.kz/zakupki/43061257</t>
  </si>
  <si>
    <t>АО «Международный аэропорт Атырау имени Хиуаз Доспановой»</t>
  </si>
  <si>
    <t>https://tenderplus.kz/zakupki/37671231</t>
  </si>
  <si>
    <t>АО «Международный аэропорт Актау»</t>
  </si>
  <si>
    <t>ТОО «Международный аэропорт Орал» (Уральск)</t>
  </si>
  <si>
    <t>АО «Аэропорт Сары-Арка» (Караганда)</t>
  </si>
  <si>
    <t>Лотерея АО «Сәтті Жұлдыз»</t>
  </si>
  <si>
    <t>№</t>
  </si>
  <si>
    <t>ТОП</t>
  </si>
  <si>
    <t>Ответственный</t>
  </si>
  <si>
    <t>Публикование</t>
  </si>
  <si>
    <t>День окончания приема заявок</t>
  </si>
  <si>
    <t>Тип услуги</t>
  </si>
  <si>
    <t>Статус участия
(Подались/ Идет рассмотрение)</t>
  </si>
  <si>
    <t>Холдинг или группа</t>
  </si>
  <si>
    <t>Услуга</t>
  </si>
  <si>
    <t>Обеспечение заявки</t>
  </si>
  <si>
    <t>Обеспечение договора</t>
  </si>
  <si>
    <t>Номер тендера</t>
  </si>
  <si>
    <t>Примечания</t>
  </si>
  <si>
    <t>Статус проработки</t>
  </si>
  <si>
    <t>Контактное лицо</t>
  </si>
  <si>
    <t>Контакты</t>
  </si>
  <si>
    <t>Процент снижения</t>
  </si>
  <si>
    <t>Ссылка на Notion</t>
  </si>
  <si>
    <t>ДА</t>
  </si>
  <si>
    <t> </t>
  </si>
  <si>
    <t>Каражамбасмунай</t>
  </si>
  <si>
    <t>Услуги по предоставлению вычислительной мощности и ИБ</t>
  </si>
  <si>
    <t>Подготовить ТС с заказчиком</t>
  </si>
  <si>
    <t>Проигран политически</t>
  </si>
  <si>
    <t>Подались</t>
  </si>
  <si>
    <t>Ждем публикаций</t>
  </si>
  <si>
    <t>Не участвовали (Нет ТВ, нерентабельный проект)</t>
  </si>
  <si>
    <t>Не можем участвовать (указано в статусе)</t>
  </si>
  <si>
    <t>ГОСУДАРСТВЕННОЕ УЧРЕЖДЕНИЕ УПРАВЛЕНИЕ ФИНАНСОВ И ГОСУДАРСТВЕННЫХ АКТИВОВ КАРАГАНДИНСКОЙ ОБЛАСТИ</t>
  </si>
  <si>
    <t>Не состоялся</t>
  </si>
  <si>
    <t>Анвар</t>
  </si>
  <si>
    <t>АКЦИОНЕРНОЕ ОБЩЕСТВО НАЦИОНАЛЬНАЯ АТОМНАЯ КОМПАНИЯ КАЗАТОМПРОМ</t>
  </si>
  <si>
    <t>отсутствует</t>
  </si>
  <si>
    <t>АО НИТ</t>
  </si>
  <si>
    <t>Подготовить подачу на тендер</t>
  </si>
  <si>
    <t xml:space="preserve">
TОО  "AGTECH"</t>
  </si>
  <si>
    <t>455 000</t>
  </si>
  <si>
    <t>1 365 000</t>
  </si>
  <si>
    <t> Не соответсвуем, запрос на ленточные носители</t>
  </si>
  <si>
    <t>14.03.2025</t>
  </si>
  <si>
    <t>26.03.2025</t>
  </si>
  <si>
    <t>Фонд социального медицинского страхования</t>
  </si>
  <si>
    <t>Аренда серверных ресурсов</t>
  </si>
  <si>
    <t>Нет ТВ</t>
  </si>
  <si>
    <t>4 700 000</t>
  </si>
  <si>
    <t>3-5% от стоимости договора</t>
  </si>
  <si>
    <t>потенциальный клиент, расчет готов
Ждем публикации</t>
  </si>
  <si>
    <t>Услуги облачного сервиса</t>
  </si>
  <si>
    <t>Закупка не состоялась</t>
  </si>
  <si>
    <t>3 718 858</t>
  </si>
  <si>
    <t>11 156 575</t>
  </si>
  <si>
    <t>Тендер не по части IaaS</t>
  </si>
  <si>
    <t>РЕСПУБЛИКАНСКОЕ ГОСУДАРСТВЕННОЕ УЧРЕЖДЕНИЕ КОМИТЕТ КАЗНАЧЕЙСТВА МИНИСТЕРСТВА ФИНАНСОВ РЕСПУБЛИКИ КАЗАХСТАН</t>
  </si>
  <si>
    <t>Из одного источника</t>
  </si>
  <si>
    <t>Научно-производственное объединение «Перспектива» ООО</t>
  </si>
  <si>
    <t>3 497 669</t>
  </si>
  <si>
    <t>10 493 008</t>
  </si>
  <si>
    <t>Расчет готов, ждем публикацию</t>
  </si>
  <si>
    <t>Эмбамунайгаз</t>
  </si>
  <si>
    <t>Учавствуем</t>
  </si>
  <si>
    <t>ТОО "Корпорация Казахмыс"</t>
  </si>
  <si>
    <t>Услуги по предоставлению вычислительных ресурсов</t>
  </si>
  <si>
    <t>Tizilim</t>
  </si>
  <si>
    <t>Работаем</t>
  </si>
  <si>
    <t>ТОВАРИЩЕСТВО С ОГРАНИЧЕННОЙ ОТВЕТСТВЕННОСТЬЮ САМРУК-КАЗЫНА БИЗНЕС СЕРВИС</t>
  </si>
  <si>
    <t>Товарищество с
ограниченной
ответственностью
"QazCloud (КазКлауд)"</t>
  </si>
  <si>
    <t>РГУ КАЗАХСТАНСКИЙ ИНСТИТУТ СТРАТЕГИЧЕСКИХ ИССЛЕДОВАНИИ ПРИ ПРЕЗИДЕНТЕ РЕСПУБЛИКИ КАЗАХСТАН</t>
  </si>
  <si>
    <t>ТОО Интернет компания "Первая Страница"</t>
  </si>
  <si>
    <t>АКЦИОНЕРНОЕ ОБЩЕСТВО КАЗАГРОФИНАНС</t>
  </si>
  <si>
    <t xml:space="preserve">ТОО "SMARTAPPS"
</t>
  </si>
  <si>
    <t>1 437 290</t>
  </si>
  <si>
    <t>4 311 870</t>
  </si>
  <si>
    <t>Не подошли по ТВ, проработать в следующем году</t>
  </si>
  <si>
    <t>Услуги по обеспечению информационной безопасности</t>
  </si>
  <si>
    <t>ИБ</t>
  </si>
  <si>
    <t>ТОО "Digital Qalqan"</t>
  </si>
  <si>
    <t>1 403 571</t>
  </si>
  <si>
    <t>4 210 714</t>
  </si>
  <si>
    <t>Из одного источника, ждем пуюбликацию</t>
  </si>
  <si>
    <t>Общество с ограниченной ответственностью «DataLine24»</t>
  </si>
  <si>
    <t>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t>
  </si>
  <si>
    <t>1 343 308</t>
  </si>
  <si>
    <t>4 029 925</t>
  </si>
  <si>
    <t>РГУ КОМИТЕТ ГОСУДАРСТВЕННОГО КАЗНАЧЕЙСТВА МИНИСТЕРСТВА ФИНАНСОВ РЕСПУБЛИКИ КАЗАХСТАН</t>
  </si>
  <si>
    <t>АО "Казахтелеком"</t>
  </si>
  <si>
    <t>ТОО УРАЛ ОЙЛ ЭНД ГАЗ</t>
  </si>
  <si>
    <t>ТОО "Nova Cloud Kazakhstan"</t>
  </si>
  <si>
    <t>АКЦИОНЕРНОЕ ОБЩЕСТВО КАЗПОЧТА</t>
  </si>
  <si>
    <t>Услуги по планированию последней мили</t>
  </si>
  <si>
    <t>1 270 000</t>
  </si>
  <si>
    <t>3 810 000</t>
  </si>
  <si>
    <t>Проработан, нужно сделать ТС к тендеру, будем учавствовать</t>
  </si>
  <si>
    <t>https://tenderplus.kz/zakupki/48287331</t>
  </si>
  <si>
    <t>18.12.2025 09:00</t>
  </si>
  <si>
    <t>ТОО "Научно-производственное объединение "Перспектива"</t>
  </si>
  <si>
    <t>1 300 000</t>
  </si>
  <si>
    <t>MItwork</t>
  </si>
  <si>
    <t>937 496</t>
  </si>
  <si>
    <t>2 812 489</t>
  </si>
  <si>
    <t>Посчитан, ждем публикации</t>
  </si>
  <si>
    <t>ТОО КАЖСЕРВИС</t>
  </si>
  <si>
    <t>ТОО "Simourg" (Симург)</t>
  </si>
  <si>
    <t>https://tenderplus.kz/zakupki/49219182</t>
  </si>
  <si>
    <t>=ПРОМЕЖУТОЧНЫЕ.ИТОГИ(9</t>
  </si>
  <si>
    <t>2 442 000</t>
  </si>
  <si>
    <t>4 070 000</t>
  </si>
  <si>
    <t>расчет готов, не опубликован</t>
  </si>
  <si>
    <t> "НАЦИОНАЛЬНЫЙ УПРАВЛЯЮЩИЙ ХОЛДИНГ "БАЙТЕРЕК"</t>
  </si>
  <si>
    <t>Аренда серверных мощностей</t>
  </si>
  <si>
    <t>ЦОД должен находится в г. Астана</t>
  </si>
  <si>
    <t>706 090</t>
  </si>
  <si>
    <t>2 118 270</t>
  </si>
  <si>
    <t>Поставка сервера в ЦОД заказчика</t>
  </si>
  <si>
    <t>Улттык Геологиялык Кызмет</t>
  </si>
  <si>
    <t xml:space="preserve">Услуги по предоставлению вычислительных мощностей </t>
  </si>
  <si>
    <t>690 530</t>
  </si>
  <si>
    <t>2 071 590</t>
  </si>
  <si>
    <t>Тендер не опубликован, ожидаем</t>
  </si>
  <si>
    <t>ТОВАРИЩЕСТВО С ОГРАНИЧЕННОЙ ОТВЕТСТВЕННОСТЬЮ ЭКИБАСТУЗСКАЯ ГРЭС-1 ИМЕНИ БУЛАТА НУРЖАНОВА</t>
  </si>
  <si>
    <t>ТОО "Energy Solutions Center"</t>
  </si>
  <si>
    <t>678 960</t>
  </si>
  <si>
    <t>2 036 881</t>
  </si>
  <si>
    <t>Ожидаем публикацию (Гани должен найти ЛПР, начать переговоры)</t>
  </si>
  <si>
    <t>ТОВАРИЩЕСТВО С ОГРАНИЧЕННОЙ ОТВЕТСТВЕННОСТЬЮ "САМРУК-КАЗЫНА БИЗНЕС СЕРВИС"</t>
  </si>
  <si>
    <t>2 006 258</t>
  </si>
  <si>
    <t>3 343 763</t>
  </si>
  <si>
    <t>Поставка СХД (HDD) в ЦОД заказчика</t>
  </si>
  <si>
    <t>АКЦИОНЕРНОЕ ОБЩЕСТВО АКТОБЕ ТЭЦ</t>
  </si>
  <si>
    <t>Услуга подключения к ОЦИБ</t>
  </si>
  <si>
    <t>660 000</t>
  </si>
  <si>
    <t>1 980 000</t>
  </si>
  <si>
    <t>Поставка серверных оборудований
Анвар продает ИБ</t>
  </si>
  <si>
    <t>АКЦИОНЕРНОЕ ОБЩЕСТВО НАЦИОНАЛЬНАЯ КОМПАНИЯ КАЗМУНАЙГАЗ</t>
  </si>
  <si>
    <t>590 134</t>
  </si>
  <si>
    <t>1 770 401</t>
  </si>
  <si>
    <t>Поставка серверных оборудований, не подходим</t>
  </si>
  <si>
    <t>договор до 31.12.2024</t>
  </si>
  <si>
    <t>НЕКОММЕРЧЕСКОЕ АО МЕДИЦИНСКИЙ УНИВЕРСИТЕТ АСТАНА</t>
  </si>
  <si>
    <t xml:space="preserve">	Общество с ограниченной ответственностью «X NET»</t>
  </si>
  <si>
    <t>ТОВАРИЩЕСТВО С ОГРАНИЧЕННОЙ ОТВЕТСТВЕННОСТЬЮ КМГ-КУМКОЛЬ</t>
  </si>
  <si>
    <t>11.12.2023</t>
  </si>
  <si>
    <t>20.12.2023</t>
  </si>
  <si>
    <t> "ФОНД РАЗВИТИЯ ПРОМЫШЛЕННОСТИ"</t>
  </si>
  <si>
    <t>Услуги по аренде вычислительных ресурсов</t>
  </si>
  <si>
    <t>430 000</t>
  </si>
  <si>
    <t> Байтерек, тендер прошел, не подошли и политика</t>
  </si>
  <si>
    <t>АО АВИАЦИОННАЯ АДМИНИСТРАЦИЯ КАЗАХСТАНА</t>
  </si>
  <si>
    <t>Общество с ограниченной ответственностью «АЯСОМ»</t>
  </si>
  <si>
    <t>АКЦИОНЕРНОЕ ОБЩЕСТВО АВИАЦИОННАЯ АДМИНИСТРАЦИЯ КАЗАХСТАНА</t>
  </si>
  <si>
    <t>Получить ОС по ТВ</t>
  </si>
  <si>
    <t>ТОО "АYАСОМ"</t>
  </si>
  <si>
    <t>1 131 107</t>
  </si>
  <si>
    <t>1 885 179</t>
  </si>
  <si>
    <t>Не подошли по ТВ, проработать в следующем году. Миграция 2 дня</t>
  </si>
  <si>
    <t>АКЦИОНЕРНОЕ ОБЩЕСТВО НАЦИОНАЛЬНЫЙ ЦЕНТР ПОВЫШЕНИЯ КВАЛИФИКАЦИИ ӨРЛЕУ</t>
  </si>
  <si>
    <t>Услуги по аренде виртуального выделенного сервера (VPS) Услуги по аренде виртуального выделенного сервера (VPS)</t>
  </si>
  <si>
    <t>АО "Казтелепорт"</t>
  </si>
  <si>
    <t>363 754</t>
  </si>
  <si>
    <t>1 091 261</t>
  </si>
  <si>
    <t>Опубликован, в работе</t>
  </si>
  <si>
    <t>"Тау-Кен Самрук"</t>
  </si>
  <si>
    <t>1 200 000</t>
  </si>
  <si>
    <t>350 000</t>
  </si>
  <si>
    <t>1 050 000</t>
  </si>
  <si>
    <t>Не подходим по тв</t>
  </si>
  <si>
    <t>ТОО "NTL KAZAKHSTAN"</t>
  </si>
  <si>
    <t>330 636</t>
  </si>
  <si>
    <t>991 908</t>
  </si>
  <si>
    <t> Декабрь 2026 тендер</t>
  </si>
  <si>
    <t>Данара</t>
  </si>
  <si>
    <t>АКЦИОНЕРНОЕ ОБЩЕСТВО ЦЕНТРАЛЬНЫЙ ДЕПОЗИТАРИЙ ЦЕННЫХ БУМАГ</t>
  </si>
  <si>
    <t>Сервер</t>
  </si>
  <si>
    <t xml:space="preserve">ТОО "NEWTECH
DISTRIBUTION"
</t>
  </si>
  <si>
    <t>990 368</t>
  </si>
  <si>
    <t>1 650 614</t>
  </si>
  <si>
    <t>АО КСЕЛЛ</t>
  </si>
  <si>
    <t>ТОО "ЦЕНТР МОБИЛЬНОЙ ИДЕНТИФИКАЦИИ"</t>
  </si>
  <si>
    <t>Атырауский НПЗ</t>
  </si>
  <si>
    <t>Услуги по предоставлению вычислительной мощности</t>
  </si>
  <si>
    <t>1 700 000</t>
  </si>
  <si>
    <t>5 100 000</t>
  </si>
  <si>
    <t>Участвуем</t>
  </si>
  <si>
    <t>ТОВАРИЩЕСТВО С ОГРАНИЧЕННОЙ ОТВЕТСТВЕННОСТЬЮ АТЫРАУСКИЙ НЕФТЕПЕРЕРАБАТЫВАЮЩИЙ ЗАВОД</t>
  </si>
  <si>
    <t>До 31.12.2026</t>
  </si>
  <si>
    <t>ТОО "ЦИФС"</t>
  </si>
  <si>
    <t>250 000</t>
  </si>
  <si>
    <t>750 000</t>
  </si>
  <si>
    <t>QazCloud из одного источника</t>
  </si>
  <si>
    <t>АО КАЗПОЧТА</t>
  </si>
  <si>
    <t>ТОО "IDS Robotics"</t>
  </si>
  <si>
    <t>РГП НА ПРАВЕ ХОЗЯЙСТВЕННОГО ВЕДЕНИЯ «НАЦИОНАЛЬНЫЙ ЦЕНТР КАЧЕСТВА ДОРОЖНЫХ АКТИВОВ» КОМИТЕТА АВТОМОБИЛЬНЫХ ДОРОГ МИНИСТЕРСТВА ТРАНСПОРТА РЕСПУБЛИКИ КАЗАХСТАН</t>
  </si>
  <si>
    <t>ТОО "SmartApps"</t>
  </si>
  <si>
    <t>ТОВАРИЩЕСТВО С ОГРАНИЧЕННОЙ ОТВЕТСТВЕННОСТЬЮ KMG BARLAU</t>
  </si>
  <si>
    <t>ДИРЕКЦИЯ ТЕЛЕКОМ КОМПЛЕКТ - ФИЛИАЛ АКЦИОНЕРНОГО ОБЩЕСТВА КАЗАХТЕЛЕКОМ</t>
  </si>
  <si>
    <t>ТОО "Qaz new techno"</t>
  </si>
  <si>
    <t>РГП НА ПРАВЕ ХОЗЯЙСТВЕННОГО ВЕДЕНИЯ «ГОСУДАРСТВЕННАЯ ВНЕВЕДОМСТВЕННАЯ ЭКСПЕРТИЗА ПРОЕКТОВ» КОМИТЕТА ПО ДЕЛАМ СТРОИТЕЛЬСТВА И ЖИЛИЩНО-КОММУНАЛЬНОГО ХОЗЯЙСТВА МИНИСТЕРСТВА ПРОМЫШЛЕННОСТИ И СТРОИТЕЛЬСТВА РЕСПУБЛИК...</t>
  </si>
  <si>
    <t>АО «Транстелеком»</t>
  </si>
  <si>
    <t>АКЦИОНЕРНОЕ ОБЩЕСТВО ЦЕНТР РАЗВИТИЯ ТРУДОВЫХ РЕСУРСОВ</t>
  </si>
  <si>
    <t>Услуги по аренде стоико-мест</t>
  </si>
  <si>
    <t>700 045</t>
  </si>
  <si>
    <t>1 166 742</t>
  </si>
  <si>
    <t>Не опубликован, расчет готов</t>
  </si>
  <si>
    <t>Dunga</t>
  </si>
  <si>
    <t xml:space="preserve">Услуги по предоставлению выделенного сервера </t>
  </si>
  <si>
    <t>Предоставление ЗЦП по e-mail</t>
  </si>
  <si>
    <t>Подались на второй раунд</t>
  </si>
  <si>
    <t>-</t>
  </si>
  <si>
    <t>АО ИНФОРМАЦИОННО-УЧЕТНЫЙ ЦЕНТР</t>
  </si>
  <si>
    <t>https://tenderplus.kz/zakupki/48703114</t>
  </si>
  <si>
    <t>27.01.2026 17:59</t>
  </si>
  <si>
    <t>АО "Информационно-учетный центр"</t>
  </si>
  <si>
    <t>600 000</t>
  </si>
  <si>
    <t>Не подавались, не соответствуем / Политика</t>
  </si>
  <si>
    <t>https://tenderplus.kz/zakupki/48769224    https://tenderplus.kz/zakupki/48672741  https://tenderplus.kz/zakupki/48672771  https://tenderplus.kz/zakupki/48602348  https://tenderplus.kz/zakupki/48602347</t>
  </si>
  <si>
    <t>29.01.2026 17:10  27.01.2026 09:00  27.01.2026 09:00  23.01.2026 09:00   23.01.2026 09:00</t>
  </si>
  <si>
    <t>597 000</t>
  </si>
  <si>
    <t>995 000</t>
  </si>
  <si>
    <t>АО ЦЕНТР РАЗВИТИЯ ТРУДОВЫХ РЕСУРСОВ</t>
  </si>
  <si>
    <t>ТОО "Yellow Cloud"</t>
  </si>
  <si>
    <t>АКЦИОНЕРНОЕ ОБЩЕСТВО "ЦЕНТР РАЗВИТИЯ ТРУДОВЫХ РЕСУРСОВ"</t>
  </si>
  <si>
    <t>580 145</t>
  </si>
  <si>
    <t>966 908</t>
  </si>
  <si>
    <t>Посчитан, не опубликован</t>
  </si>
  <si>
    <t>Серик</t>
  </si>
  <si>
    <t>АКЦИОНЕРНОЕ ОБЩЕСТВО ШАЛКИЯЦИНК ЛТД</t>
  </si>
  <si>
    <t>ТОО "Middle Comm"</t>
  </si>
  <si>
    <t>553 125</t>
  </si>
  <si>
    <t>921 875</t>
  </si>
  <si>
    <t>Данный тендер прорабатывался в сентябре–октябре 2025 года. Техническую спецификацию Заказчика отрабатывала компания ASTEL, по итогам было выставлено коммерческое предложение от 09.10.2025 на сумму 31 088 856.
По состоянию на 11.02.2026 альтернативное коммерческое предложение через SAUYT.LAB прорабатывает Медеуов Аслан — для понимания, сможем ли пройти в бюджет тендера 18 000 000 или нет.</t>
  </si>
  <si>
    <t>закуп оборудования сервера, не наш бизнес</t>
  </si>
  <si>
    <t>"НАЦИОНАЛЬНЫЙ УПРАВЛЯЮЩИЙ ХОЛДИНГ "БАЙТЕРЕК"</t>
  </si>
  <si>
    <t>540 000</t>
  </si>
  <si>
    <t>закуп оборудования сервера</t>
  </si>
  <si>
    <t>АКЦИОНЕРНОЕ ОБЩЕСТВО АГРАРНАЯ КРЕДИТНАЯ КОРПОРАЦИЯ</t>
  </si>
  <si>
    <t>ТОО "VIRT
CLOUD QAZAKHSTAN"</t>
  </si>
  <si>
    <t>Phillip Morris</t>
  </si>
  <si>
    <t>Услуги по предоставлению облачного сервиса (Хостинг)</t>
  </si>
  <si>
    <t>PMI</t>
  </si>
  <si>
    <t>ТОО "KT
Cloud Lab"</t>
  </si>
  <si>
    <t>466 043</t>
  </si>
  <si>
    <t>776 738</t>
  </si>
  <si>
    <t>расчет готов, политически проигран</t>
  </si>
  <si>
    <t>https://tenderplus.kz/zakupki/48685789</t>
  </si>
  <si>
    <t>28.01.2026 09:00</t>
  </si>
  <si>
    <t>НЕКОММЕРЧЕСКОЕ АКЦИОНЕРНОЕ ОБЩЕСТВО «ИНФОРМАЦИОННО-АНАЛИТИЧЕСКИЙ ЦЕНТР ВОДНЫХ РЕСУРСОВ»</t>
  </si>
  <si>
    <t>450 000</t>
  </si>
  <si>
    <t>Не рентабельный</t>
  </si>
  <si>
    <t>ТОО ИК "Первая Страница"</t>
  </si>
  <si>
    <t>Ерсултан / Серик</t>
  </si>
  <si>
    <t>КГУ УПРАВЛЕНИЕ ГОСУДАРСТВЕННЫХ ЗАКУПОК КЫЗЫЛОРДИНСКОЙ ОБЛАСТИ</t>
  </si>
  <si>
    <t>ТОО "SarDala.com"</t>
  </si>
  <si>
    <t>КОММУНАЛЬНОЕ ГОСУДАРСТВЕННОЕ УЧРЕЖДЕНИЕ УПРАВЛЕНИЕ ГОСУДАРСТВЕННЫХ ЗАКУПОК КЫЗЫЛОРДИНСКОЙ ОБЛАСТИ</t>
  </si>
  <si>
    <t>401 786</t>
  </si>
  <si>
    <t>669 643</t>
  </si>
  <si>
    <t>Коммунальное государственное учреждение «Управление государственных закупок Кызылординской области» нецелесообразно прорабатывать в качестве потенциального заказчика, поскольку учреждение выполняет функции централизованного организатора закупок и не является конечным пользователем услуг/решений.</t>
  </si>
  <si>
    <t>в работе</t>
  </si>
  <si>
    <t>https://tenderplus.kz/zakupki/48769223</t>
  </si>
  <si>
    <t>29.01.2026 17:15</t>
  </si>
  <si>
    <t>390 000</t>
  </si>
  <si>
    <t>650 000</t>
  </si>
  <si>
    <t>Не соответствуем</t>
  </si>
  <si>
    <t>https://tenderplus.kz/zakupki/48654965</t>
  </si>
  <si>
    <t>23.01.2026 12:00</t>
  </si>
  <si>
    <t>383 036</t>
  </si>
  <si>
    <t>638 393</t>
  </si>
  <si>
    <t>ТС прорабатываем с партнером</t>
  </si>
  <si>
    <t>ТОВАРИЩЕСТВО С ОГРАНИЧЕННОЙ ОТВЕТСТВЕННОСТЬЮ KMG DRILLING &amp; SERVICES</t>
  </si>
  <si>
    <t>ГУ ОТДЕЛ ОБРАЗОВАНИЯ ПАВЛОДАРСКОГО РАЙОНА УПРАВЛЕНИЯ ОБРАЗОВАНИЯ ПАВЛОДАРСКОЙ ОБЛАСТИ</t>
  </si>
  <si>
    <t>ТОО "Helios Soft"</t>
  </si>
  <si>
    <t>АКЦИОНЕРНОЕ ОБЩЕСТВО НАЦИОНАЛЬНАЯ ПЛАТЕЖНАЯ КОРПОРАЦИЯ НАЦИОНАЛЬНОГО БАНКА РЕСПУБЛИКИ КАЗАХСТАН</t>
  </si>
  <si>
    <t xml:space="preserve">ТОО "ОБЛАЧНЫЕ
РЕШЕНИЯ"
</t>
  </si>
  <si>
    <t>ТОВАРИЩЕСТВО С ОГРАНИЧЕННОЙ ОТВЕТСТВЕННОСТЬЮ ЭКИБАСТУЗСКИЕ ТЕПЛОВЫЕ СЕТИ</t>
  </si>
  <si>
    <t>https://eurasiantech-tender.kz/Identity/Account/Login?ReturnUrl=%2FPurchase%2FIndex%2F49490</t>
  </si>
  <si>
    <t>ГОСУДАРСТВЕННОЕ УЧРЕЖДЕНИЕ ВЫСШАЯ АУДИТОРСКАЯ ПАЛАТА РЕСПУБЛИКИ КАЗАХСТАН</t>
  </si>
  <si>
    <t>АО «Казтелепорт»</t>
  </si>
  <si>
    <t>https://tenderplus.kz/zakupki/48723211</t>
  </si>
  <si>
    <t>21.01.2026 12:00</t>
  </si>
  <si>
    <t>ГОСУДАРСТВЕННОЕ УЧРЕЖДЕНИЕ УПРАВЛЕНИЕ ЦИФРОВИЗАЦИИ И АРХИВОВ АТЫРАУСКОЙ ОБЛАСТИ</t>
  </si>
  <si>
    <t>259 714</t>
  </si>
  <si>
    <t>432 857</t>
  </si>
  <si>
    <t xml:space="preserve"> (Гани должен найти ЛПР, начать переговоры)</t>
  </si>
  <si>
    <t>ГУ УПРАВЛЕНИЕ ЦИФРОВИЗАЦИИ И АРХИВОВ АТЫРАУСКОЙ ОБЛАСТИ</t>
  </si>
  <si>
    <t>ООО «ИК "Первая Стратика"»</t>
  </si>
  <si>
    <t>https://tenderplus.kz/zakupki/48797797</t>
  </si>
  <si>
    <t>23.01.2026 16:22</t>
  </si>
  <si>
    <t>Услуги по обеспечению информационной безопасности Услуги по обеспечению информационной безопасности</t>
  </si>
  <si>
    <t>ТОО "Научно-исследовательская лаборатория "Гамма Технологии"</t>
  </si>
  <si>
    <t>256 179</t>
  </si>
  <si>
    <t>426 964</t>
  </si>
  <si>
    <t>Документры, расчеты подгружены в OneDrive
Не опубликован</t>
  </si>
  <si>
    <t>РГП НА ПРАВЕ ХОЗЯЙСТВЕННОГО ВЕДЕНИЯ КАЗГИДРОМЕТ МИНИСТЕРСТВА ЭКОЛОГИИ И ПРИРОДНЫХ РЕСУРСОВ РЕСПУБЛИКИ КАЗАХСТАН</t>
  </si>
  <si>
    <t>ООО «SINAPSYS»</t>
  </si>
  <si>
    <t>ГУ ОТДЕЛ ОБРАЗОВАНИЯ АБАЙСКОГО РАЙОНА УПРАВЛЕНИЯ ОБРАЗОВАНИЯ КАРАГАНДИНСКОЙ ОБЛАСТИ</t>
  </si>
  <si>
    <t>ИП Назарова Татьяна Викторовна «Континент-Связь»</t>
  </si>
  <si>
    <t>Акционерное общество «Казтелепорт» — дочерняя компания «Халык Банка Казахстана».</t>
  </si>
  <si>
    <t>КГКП КАРАГАНДИНСКИЙ АГРОТЕХНИЧЕСКИЙ КОЛЛЕДЖ УПРАВЛЕНИЯ ОБРАЗОВАНИЯ КАРАГАНДИНСКОЙ ОБЛАСТИ</t>
  </si>
  <si>
    <t>ТОО "IT centre Karaganda"</t>
  </si>
  <si>
    <t>НЕКОММЕРЧЕСКОЕ АКЦИОНЕРНОЕ ОБЩЕСТВО КАЗАХСКИЙ НАЦИОНАЛЬНЫЙ ИССЛЕДОВАТЕЛЬСКИЙ ТЕХНИЧЕСКИЙ УНИВЕРСИТЕТ ИМЕНИ К.И. САТПАЕВА</t>
  </si>
  <si>
    <t>ТОО "ИТ-ГРАД"</t>
  </si>
  <si>
    <t xml:space="preserve">Orda Cloud </t>
  </si>
  <si>
    <t>ГУ ОТДЕЛ ОБРАЗОВАНИЯ ПО УЙГУРСКОМУ РАЙОНУ УПРАВЛЕНИЯ ОБРАЗОВАНИЯ АЛМАТИНСКОЙ ОБЛАСТИ</t>
  </si>
  <si>
    <t>АО «Казахтелеком»</t>
  </si>
  <si>
    <t>https://tenderplus.kz/zakupki/44613502</t>
  </si>
  <si>
    <t>06.02.2026 15:00</t>
  </si>
  <si>
    <t>ГОСУДАРСТВЕННОЕ УЧРЕЖДЕНИЕ ОТДЕЛ ГОСУДАРСТВЕННЫХ АКТИВОВ И ЗАКУПОК ГОРОДА КАРАГАНДЫ</t>
  </si>
  <si>
    <t>ТОО "Группа компаний VISION"</t>
  </si>
  <si>
    <t>193 590</t>
  </si>
  <si>
    <t>322 650</t>
  </si>
  <si>
    <t>Хотят поставку программного обеспечения для ЦИК</t>
  </si>
  <si>
    <t>КГП НА ПРАВЕ ХОЗЯЙСТВЕННОГО ВЕДЕНИЯ «АТЫРАУСКИЙ ОБЛАСТНОЙ ЦЕНТР ПСИХИЧЕСКОГО ЗДОРОВЬЯ» УПРАВЛЕНИЯ ЗДРАВООХРАНЕНИЯ АТЫРАУСКОЙ ОБЛАСТИ</t>
  </si>
  <si>
    <t>ООО «ЛюксСофт»</t>
  </si>
  <si>
    <t>КГП НА ПРАВЕ ХОЗЯЙСТВЕННОГО ВЕДЕНИЯ АТЫРАУСКАЯ ОБЛАСТНАЯ ИНФЕКЦИОННАЯ БОЛЬНИЦА УПРАВЛЕНИЯ ЗДРАВООХРАНЕНИЯ АТЫРАУСКОЙ ОБЛАСТИ</t>
  </si>
  <si>
    <t>АКЦИОНЕРНОЕ ОБЩЕСТВО «НАЦИОНАЛЬНАЯ ГОРНОРУДНАЯ КОМПАНИЯ «TAУ-KEН САМРУК»</t>
  </si>
  <si>
    <t>ТОО "Energy Construction Engineering"</t>
  </si>
  <si>
    <t>164 318</t>
  </si>
  <si>
    <t>273 864</t>
  </si>
  <si>
    <t> Посчитан, не опубликован</t>
  </si>
  <si>
    <t>РЕСПУБЛИКАНСКОЕ ГОСУДАРСТВЕННОЕ ПРЕДПРИЯТИЕ НА ПРАВЕ ХОЗЯЙСТВЕННОГО ВЕДЕНИЯ БАНКНОТНАЯ ФАБРИКА НАЦИОНАЛЬНОГО БАНКА РЕСПУБЛИКИ КАЗАХСТАН</t>
  </si>
  <si>
    <t>КГП НА ПРАВЕ ХОЗЯЙСТВЕННОГО ВЕДЕНИЯ «ОБЛАСТНОЙ ВЫСШИЙ МЕДИЦИНСКИЙ КОЛЛЕДЖ ГОРОДА ЖЕЗКАЗГАН» УПРАВЛЕНИЯ ЗДРАВООХРАНЕНИЯ ОБЛАСТИ ҰЛЫТАУ</t>
  </si>
  <si>
    <t>РГП НА ПРАВЕ ХОЗЯЙСТВЕННОГО ВЕДЕНИЯ РЕСПУБЛИКАНСКИЙ НАУЧНО-ПРАКТИЧЕСКИЙ ЦЕНТР ЭКСПЕРТИЗЫ СОДЕРЖАНИЯ ОБРАЗОВАНИЯ КОМИТЕТА ПО ОБЕСПЕЧЕНИЮ КАЧЕСТВА В СФЕРЕ ОБРАЗОВАНИЯ МИНИСТЕРСТВА ПРОСВЕЩЕНИЯ РЕСПУБЛИКИ КАЗАХСТ...</t>
  </si>
  <si>
    <t>ТОО "Интернет-компания PS"</t>
  </si>
  <si>
    <t>КГУ СИТУАЦИОННЫЙ ЦЕНТР ГОРОДА ПЕТРОПАВЛОВСКА КОММУНАЛЬНОГО ГОСУДАРСТВЕННОГО УЧРЕЖДЕНИЯ АППАРАТ АКИМА ГОРОДА ПЕТРОПАВЛОВСКА</t>
  </si>
  <si>
    <t>ТОО "Тек лицензияланған
бағдарламалар</t>
  </si>
  <si>
    <t>ГУ ОТДЕЛ ЖИЛИЩНО-КОММУНАЛЬНОГО ХОЗЯЙСТВА, ПАССАЖИРСКОГО ТРАНСПОРТА И АВТОМОБИЛЬНЫХ ДОРОГ ГОРОДА ШАХТИНСКА</t>
  </si>
  <si>
    <t>ТОО "Антарис-2018"</t>
  </si>
  <si>
    <t>ТОО "Cloud24.kz"</t>
  </si>
  <si>
    <t>КГКП КАРАГАНДИНСКИЙ КОЛЛЕДЖ ИСКУССТВ ИМЕНИ ТАТТИМБЕТА УПРАВЛЕНИЯ ОБРАЗОВАНИЯ КАРАГАНДИНСКОЙ ОБЛАСТИ</t>
  </si>
  <si>
    <t>ТОО «ВИЗИОН Групп»</t>
  </si>
  <si>
    <t>ТОВАРИЩЕСТВО С ОГРАНИЧЕННОЙ ОТВЕТСТВЕННОСТЬЮ SSAP</t>
  </si>
  <si>
    <t>КГКП ШЕТСКИЙ АГРОТЕХНИЧЕСКИЙ КОЛЛЕДЖ УПРАВЛЕНИЯ ОБРАЗОВАНИЯ КАРАГАНДИНСКОЙ ОБЛАСТИ</t>
  </si>
  <si>
    <t>Космос</t>
  </si>
  <si>
    <t>ТОО ЕРТІС МЕДИА</t>
  </si>
  <si>
    <t>ТОО "KZ_ID Technology"</t>
  </si>
  <si>
    <t>ГКП НА ПРАВЕ ХОЗЯЙСТВЕННОГО ВЕДЕНИЯ ГОРОДСКАЯ МНОГОПРОФИЛЬНАЯ БОЛЬНИЦА УПРАВЛЕНИЯ ЗДРАВООХРАНЕНИЯ АКИМАТА ЗАПАДНО-КАЗАХСТАНСКОЙ ОБЛАСТИ</t>
  </si>
  <si>
    <t>КГКП ЯСЛИ-САД БАЛДЫРҒАН ОТДЕЛА ОБРАЗОВАНИЯ ЖАНААРКИНСКОГО РАЙОНА УПРАВЛЕНИЯ ОБРАЗОВАНИЯ ОБЛАСТИ ҰЛЫТАУ</t>
  </si>
  <si>
    <t>ТОВАРИЩЕСТВО С ОГРАНИЧЕННОЙ ОТВЕТСТВЕННОСТЬЮ OIL SERVICES COMPANY</t>
  </si>
  <si>
    <t>КГКП КАРАГАНДИНСКИЙ ТРАНСПОРТНО-ТЕХНОЛОГИЧЕСКИЙ КОЛЛЕДЖ УПРАВЛЕНИЯ ОБРАЗОВАНИЯ КАРАГАНДИНСКОЙ ОБЛАСТИ</t>
  </si>
  <si>
    <t>ООО «ИТ-центр Караганда»</t>
  </si>
  <si>
    <t>ГУ ОТДЕЛ ОБРАЗОВАНИЯ ПО ГОРОДУ ТАЛДЫКОРГАН УПРАВЛЕНИЯ ОБРАЗОВАНИЯ ОБЛАСТИ ЖЕТІСУ</t>
  </si>
  <si>
    <t>"Helios Soft" LLP</t>
  </si>
  <si>
    <t>КОММУНАЛЬНОЕ ГОСУДАРСТВЕННОЕ КАЗЕННОЕ ПРЕДПРИЯТИЕ КАРАГАНДИНСКИЙ ВЫСШИЙ ПОЛИТЕХНИЧЕСКИЙ КОЛЛЕДЖ УПРАВЛЕНИЯ ОБРАЗОВАНИЯ КАРАГАНДИНСКОЙ ОБЛАСТИ</t>
  </si>
  <si>
    <t>ООО «ВИДЕНИЕ Группы компаний»</t>
  </si>
  <si>
    <t>АО "Пассажирские перевозки"</t>
  </si>
  <si>
    <t>Посчитан, миграция 5 дней, ждем публикацию</t>
  </si>
  <si>
    <t>Договор до 31.12.2027</t>
  </si>
  <si>
    <t>ФИЛИАЛ ЧАСТНОЙ КОМПАНИИ С ОГРАНИЧЕННОЙ ОТВЕТСТВЕННОСТЬЮ КМГ КАШАГАН Б.В. В РЕСПУБЛИКЕ КАЗАХСТАН</t>
  </si>
  <si>
    <t>Услуги по аренде серверных мощностей (IaaS, PaaS)</t>
  </si>
  <si>
    <t>ТОО "SMARTAPPS"</t>
  </si>
  <si>
    <t>804 000</t>
  </si>
  <si>
    <t>2 412 000</t>
  </si>
  <si>
    <t> Проигран, податься в следующем году</t>
  </si>
  <si>
    <t>АКЦИОНЕРНОЕ ОБЩЕСТВО ҚАЗТЕМІРТРАНС</t>
  </si>
  <si>
    <t>1 400 001</t>
  </si>
  <si>
    <t>4 123 895</t>
  </si>
  <si>
    <t>КГП НА ПРАВЕ ХОЗЯЙСТВЕННОГО ВЕДЕНИЯ ГОРОДСКАЯ ПОЛИКЛИНИКА №1 КОММУНАЛЬНОГО ГОСУДАРСТВЕННОГО УЧРЕЖДЕНИЯ УПРАВЛЕНИЕ ЗДРАВООХРАНЕНИЯ АКИМАТА СЕВЕРО-КАЗАХСТАНСКОЙ ОБЛАСТИ</t>
  </si>
  <si>
    <t>ТОО "Petronet Plus"</t>
  </si>
  <si>
    <t>АО ФИНАНСОВЫЙ ЦЕНТР</t>
  </si>
  <si>
    <t>ТОО "MSSP.GL"</t>
  </si>
  <si>
    <t>ГКП НА ПРАВЕ ХОЗЯЙСТВЕННОГО ВЕДЕНИЯ МАНГИСТАУСКАЯ ОБЛАСТНАЯ СТАНЦИЯ СКОРОЙ И НЕОТЛОЖНОЙ МЕДИЦИНСКОЙ ПОМОЩИ ГОСУДАРСТВЕННОГО УЧРЕЖДЕНИЯ УПРАВЛЕНИЯ ЗДРАВООХРАНЕНИЯ МАНГИСТАУСКОЙ ОБЛАСТИ</t>
  </si>
  <si>
    <t>ТОО "ITS"</t>
  </si>
  <si>
    <t>КГУ «ОТДЕЛ ОБРАЗОВАНИЯ УАЛИХАНОВСКОГО РАЙОНА» КОММУНАЛЬНОГО ГОСУДАРСТВЕННОГО УЧРЕЖДЕНИЯ «УПРАВЛЕНИЕ ОБРАЗОВАНИЯ АКИМАТА СЕВЕРО-КАЗАХСТАНСКОЙ ОБЛАСТИ»</t>
  </si>
  <si>
    <t>ГУ АППАРАТ АКИМА ГОРОДА САТПАЕВ</t>
  </si>
  <si>
    <t>ООО «qBots»</t>
  </si>
  <si>
    <t>КГКП ЯСЛИ-САД ҚЫЗЫЛ ТЕЛПЕК ОТДЕЛ ОБРАЗОВАНИЯ ГОРОДА САТПАЕВ УПРАВЛЕНИЯ ОБРАЗОВАНИЯ ОБЛАСТИ ҰЛЫТАУ</t>
  </si>
  <si>
    <t>TOO "STEAM Solutions"</t>
  </si>
  <si>
    <t xml:space="preserve">	ТОО "MSSP.GL"</t>
  </si>
  <si>
    <t>АО НАЦИОНАЛЬНЫЙ ЦЕНТР КОСМИЧЕСКИХ ИССЛЕДОВАНИЙ И ТЕХНОЛОГИЙ</t>
  </si>
  <si>
    <t>Documentolog Global Ltd</t>
  </si>
  <si>
    <t>АО НАЦИОНАЛЬНЫЙ ХОЛДИНГ QAZBIOPHARM</t>
  </si>
  <si>
    <t xml:space="preserve">	ООО «NTR Group»</t>
  </si>
  <si>
    <t>ГУ ОТДЕЛ ГОСУДАРСТВЕННЫХ АКТИВОВ И ЗАКУПОК ГОРОДА КАРАГАНДЫ</t>
  </si>
  <si>
    <t xml:space="preserve">	Научно-производственное объединение «Перспектива» ООО</t>
  </si>
  <si>
    <t xml:space="preserve">	ТОО "Научно-производственное объединение "Перспектива"</t>
  </si>
  <si>
    <t>КГКП ЯСЛИ-САД «БАЛАУСА» ОТДЕЛА ОБРАЗОВАНИЯ ГОРОДА ЖЕЗКАЗГАНА УПРАВЛЕНИЯ ОБРАЗОВАНИЯ ОБЛАСТИ ҰЛЫТАУ</t>
  </si>
  <si>
    <t>ТОО "KOHKO"</t>
  </si>
  <si>
    <t>АО ЭНЕРГОИНФОРМ</t>
  </si>
  <si>
    <t>РГП НА ПРАВЕ ХОЗЯЙСТВЕННОГО ВЕДЕНИЯ ИНСТИТУТ ЗАКОНОДАТЕЛЬСТВА И ПРАВОВОЙ ИНФОРМАЦИИ РЕСПУБЛИКИ КАЗАХСТАН МИНИСТЕРСТВА ЮСТИЦИИ РЕСПУБЛИКИ КАЗАХСТАН</t>
  </si>
  <si>
    <t>ТОО "EQU Technologies"</t>
  </si>
  <si>
    <t>ГКП НА ПРАВЕ ХОЗЯЙСТВЕННОГО ВЕДЕНИЯ АКИМАТА ГОРОДА АЛМАТЫ «АЛМАТЫ ҚАЛА ЖАРЫҚ»</t>
  </si>
  <si>
    <t>ГУ УПРАВЛЕНИЕ ЗДРАВООХРАНЕНИЯ ГОРОДА ШЫМКЕНТ</t>
  </si>
  <si>
    <t>"Радиограмма" ООО</t>
  </si>
  <si>
    <t>РГП НА ПРАВЕ ХОЗЯЙСТВЕННОГО ВЕДЕНИЯ НАЦИОНАЛЬНЫЙ ЦЕНТР РАЗВИТИЯ ВЫСШЕГО ОБРАЗОВАНИЯ МИНИСТЕРСТВА НАУКИ И ВЫСШЕГО ОБРАЗОВАНИЯ РЕСПУБЛИКИ КАЗАХСТАН</t>
  </si>
  <si>
    <t>КГУ «ОБЩЕОБРАЗОВАТЕЛЬНАЯ ШКОЛА №10» ОТДЕЛА ОБРАЗОВАНИЯ ГОРОДА ЖЕЗКАЗГАНА УПРАВЛЕНИЯ ОБРАЗОВАНИЯ ОБЛАСТИ ҰЛЫТАУ</t>
  </si>
  <si>
    <t>t</t>
  </si>
  <si>
    <t>776 545</t>
  </si>
  <si>
    <t>1 294 241</t>
  </si>
  <si>
    <t>ГП КГКП «ЯСЛИ-САД «ГҮЛДЕР» ОТДЕЛА ОБРАЗОВАНИЯ ГОРОДА САТПАЕВ УПРАВЛЕНИЯ ОБРАЗОВАНИЯ ОБЛАСТИ ҰЛЫТАУ</t>
  </si>
  <si>
    <t>ТОО "IP-Plus"</t>
  </si>
  <si>
    <t>КГКП ДЕТСКАЯ ШКОЛА ИСКУССТВ ОТДЕЛА ОБРАЗОВАНИЯ ГОРОДА САТПАЕВ УПРАВЛЕНИЯ ОБРАЗОВАНИЯ ОБЛАСТИ ҰЛЫТАУ</t>
  </si>
  <si>
    <t>КГУ ГИМНАЗИЯ ИМЕНИ С.СЕЙФУЛЛИНА ОТДЕЛА ОБРАЗОВАНИЯ ГОРОДА САТПАЕВ УПРАВЛЕНИЯ ОБРАЗОВАНИЯ ОБЛАСТИ ҰЛЫТАУ</t>
  </si>
  <si>
    <t>Silleno</t>
  </si>
  <si>
    <t>Строят свой ЦОД, аутстаф людей (Должны предложить репликацию - георезерв)
Через KMG petrochem купили в QazCloud</t>
  </si>
  <si>
    <t>БИН Организатора</t>
  </si>
  <si>
    <t>Организатор</t>
  </si>
  <si>
    <t>Название</t>
  </si>
  <si>
    <t>Стоимость</t>
  </si>
  <si>
    <t>Источник</t>
  </si>
  <si>
    <t>Публикование в 2026 году</t>
  </si>
  <si>
    <t>Регион</t>
  </si>
  <si>
    <t>Статус</t>
  </si>
  <si>
    <t>Победитель</t>
  </si>
  <si>
    <t>Сумма</t>
  </si>
  <si>
    <t>060640007336</t>
  </si>
  <si>
    <t>ТОВАРИЩЕСТВО С ОГРАНИЧЕННОЙ ОТВЕТСТВЕННОСТЬЮ АЛМАТИНСКИЕ ТЕПЛОВЫЕ СЕТИ</t>
  </si>
  <si>
    <t>https://tenderplus.kz/zakupki/48461685; https://tenderplus.kz/zakupki/48510306; https://tenderplus.kz/zakupki/48540959</t>
  </si>
  <si>
    <t>г. Алматы</t>
  </si>
  <si>
    <t>Итоги</t>
  </si>
  <si>
    <t>TOO "Цифровой Калкан"</t>
  </si>
  <si>
    <t>040440004549</t>
  </si>
  <si>
    <t>АКЦИОНЕРНОЕ ОБЩЕСТВО ГОСУДАРСТВЕННЫЙ ФОНД СОЦИАЛЬНОГО СТРАХОВАНИЯ</t>
  </si>
  <si>
    <t>https://tenderplus.kz/zakupki/48543112</t>
  </si>
  <si>
    <t>г. Астана</t>
  </si>
  <si>
    <t>ТОО "JB Works"</t>
  </si>
  <si>
    <t>091040010927</t>
  </si>
  <si>
    <t>КОММУНАЛЬНОЕ ГОСУДАРСТВЕННОЕ ПРЕДПРИЯТИЕ НА ПРАВЕ ХОЗЯЙСТВЕННОГО ВЕДЕНИЯ АКИМАТА ГОРОДА АЛМАТЫ МЕТРОПОЛИТЕН</t>
  </si>
  <si>
    <t>https://tenderplus.kz/zakupki/48218001</t>
  </si>
  <si>
    <t>000740000728</t>
  </si>
  <si>
    <t>АКЦИОНЕРНОЕ ОБЩЕСТВО НАЦИОНАЛЬНЫЕ ИНФОРМАЦИОННЫЕ ТЕХНОЛОГИИ</t>
  </si>
  <si>
    <t>https://tenderplus.kz/zakupki/48091331</t>
  </si>
  <si>
    <t>Акмолинская область</t>
  </si>
  <si>
    <t>Завершен</t>
  </si>
  <si>
    <t>ТОО "CYBERONE"</t>
  </si>
  <si>
    <t>050940001237</t>
  </si>
  <si>
    <t>АКЦИОНЕРНОЕ ОБЩЕСТВО ФОНД РАЗВИТИЯ ПРОМЫШЛЕННОСТИ</t>
  </si>
  <si>
    <t>040740001832</t>
  </si>
  <si>
    <t>ТОВАРИЩЕСТВО С ОГРАНИЧЕННОЙ ОТВЕТСТВЕННОСТЬЮ «КАЗАХСТАНСКО - КИТАЙСКИЙ ТРУБОПРОВОД»</t>
  </si>
  <si>
    <t>https://tenderplus.kz/zakupki/49430463</t>
  </si>
  <si>
    <t>Алматинская область</t>
  </si>
  <si>
    <t>080740008669</t>
  </si>
  <si>
    <t>АКЦИОНЕРНОЕ ОБЩЕСТВО ЦЕНТР РАЗВИТИЯ ГОРОДА АЛМАТЫ</t>
  </si>
  <si>
    <t>https://tenderplus.kz/zakupki/49104674</t>
  </si>
  <si>
    <t>ТОО "QAZSOC"</t>
  </si>
  <si>
    <t>050640002859</t>
  </si>
  <si>
    <t>АКЦИОНЕРНОЕ ОБЩЕСТВО КОМПАНИЯ ПО СТРАХОВАНИЮ ЖИЗНИ ГОСУДАРСТВЕННАЯ АННУИТЕТНАЯ КОМПАНИЯ</t>
  </si>
  <si>
    <t>https://tenderplus.kz/zakupki/48904172</t>
  </si>
  <si>
    <t xml:space="preserve">
ТОО "Middle Comm"</t>
  </si>
  <si>
    <t>121240012394</t>
  </si>
  <si>
    <t>Услуги оперативного центра информационной безопасности (ОЦИБ)</t>
  </si>
  <si>
    <t>https://tenderplus.kz/zakupki/48230936</t>
  </si>
  <si>
    <t>120240020997</t>
  </si>
  <si>
    <t>АКЦИОНЕРНОЕ ОБЩЕСТВО ОЗЕНМУНАЙГАЗ</t>
  </si>
  <si>
    <t>https://tenderplus.kz/zakupki/48230538</t>
  </si>
  <si>
    <t>Мангистауская область</t>
  </si>
  <si>
    <t>970940000082</t>
  </si>
  <si>
    <t>ТОВАРИЩЕСТВО С ОГРАНИЧЕННОЙ ОТВЕТСТВЕННОСТЬЮ АЭС УСТЬ-КАМЕНОГОРСКАЯ ГЭС</t>
  </si>
  <si>
    <t>Восточно-Казахстанская область (ВКО)</t>
  </si>
  <si>
    <t>ТОО "Energy Solutions
Center"</t>
  </si>
  <si>
    <t>970940002871</t>
  </si>
  <si>
    <t>ТОВАРИЩЕСТВО С ОГРАНИЧЕННОЙ ОТВЕТСТВЕННОСТЬЮ АЭС ШУЛЬБИНСКАЯ ГЭС</t>
  </si>
  <si>
    <t>Абайская область</t>
  </si>
  <si>
    <t>000140000012</t>
  </si>
  <si>
    <t>КОММУНАЛЬНОЕ ГОСУДАРСТВЕННОЕ УЧРЕЖДЕНИЕ УПРАВЛЕНИЕ ФИНАНСОВ АКИМАТА ЖАМБЫЛСКОЙ ОБЛАСТИ</t>
  </si>
  <si>
    <t>https://tenderplus.kz/zakupki/49069427</t>
  </si>
  <si>
    <t>Жамбылская область</t>
  </si>
  <si>
    <t>ТОО "IT-TRY"</t>
  </si>
  <si>
    <t>070840005309</t>
  </si>
  <si>
    <t>ТОВАРИЩЕСТВО С ОГРАНИЧЕННОЙ ОТВЕТСТВЕННОСТЬЮ САМРУК-КАЗЫНА КОНТРАКТ</t>
  </si>
  <si>
    <t>Товарищество с ограниченной ответственностью "QazCloud (КазКлауд)"</t>
  </si>
  <si>
    <t>180940033494</t>
  </si>
  <si>
    <t>КОММУНАЛЬНОЕ ГОСУДАРСТВЕННОЕ УЧРЕЖДЕНИЕ УПРАВЛЕНИЕ ПАССАЖИРСКОГО ТРАНСПОРТА И АВТОМОБИЛЬНЫХ ДОРОГ АКИМАТА ЖАМБЫЛСКОЙ ОБЛАСТИ</t>
  </si>
  <si>
    <t>https://tenderplus.kz/zakupki/48718080</t>
  </si>
  <si>
    <t>040340008429</t>
  </si>
  <si>
    <t>АКЦИОНЕРНОЕ ОБЩЕСТВО ЖАСЫЛ ДАМУ</t>
  </si>
  <si>
    <t>https://tenderplus.kz/zakupki/48282637</t>
  </si>
  <si>
    <t>120740006206</t>
  </si>
  <si>
    <t>https://tenderplus.kz/zakupki/49118472</t>
  </si>
  <si>
    <t>980741000528</t>
  </si>
  <si>
    <t>ТОО "Arctic
technology group</t>
  </si>
  <si>
    <t>060640001713</t>
  </si>
  <si>
    <t>АКЦИОНЕРНОЕ ОБЩЕСТВО АЛМАТИНСКИЕ ЭЛЕКТРИЧЕСКИЕ СТАНЦИИ</t>
  </si>
  <si>
    <t>150740006678</t>
  </si>
  <si>
    <t>РЕСПУБЛИКАНСКОЕ ГОСУДАРСТВЕННОЕ ПРЕДПРИЯТИЕ НА ПРАВЕ ХОЗЯЙСТВЕННОГО ВЕДЕНИЯ НАЦИОНАЛЬНЫЙ ЦЕНТР ЭКСПЕРТИЗЫ КОМИТЕТА САНИТАРНО-ЭПИДЕМИОЛОГИЧЕСКОГО КОНТРОЛЯ МИНИСТЕРСТВА ЗДРАВООХРАНЕНИЯ РЕСПУБЛИКИ КАЗАХСТАН</t>
  </si>
  <si>
    <t>ООО «ИнтелХ»</t>
  </si>
  <si>
    <t>050540004455</t>
  </si>
  <si>
    <t xml:space="preserve">	ТОО "QAZSOC"</t>
  </si>
  <si>
    <t>961240000583</t>
  </si>
  <si>
    <t>КОММУНАЛЬНОЕ ГОСУДАРСТВЕННОЕ УЧРЕЖДЕНИЕ ШКОЛА-ГИМНАЗИЯ № 18 ОТДЕЛА ОБРАЗОВАНИЯ ГОРОДА КОСТАНАЯ УПРАВЛЕНИЯ ОБРАЗОВАНИЯ АКИМАТА КОСТАНАЙСКОЙ ОБЛАСТИ</t>
  </si>
  <si>
    <t>https://tenderplus.kz/zakupki/48756373</t>
  </si>
  <si>
    <t>Костанайская область</t>
  </si>
  <si>
    <t>ИП "РеДиз"</t>
  </si>
  <si>
    <t>170740018774</t>
  </si>
  <si>
    <t>ГОСУДАРСТВЕННОЕ УЧРЕЖДЕНИЕ ОТДЕЛ ГОСУДАРСТВЕННЫХ АКТИВОВ И ЗАКУПОК АКИМАТА ГОРОДА КОСТАНАЯ</t>
  </si>
  <si>
    <t>001240003281</t>
  </si>
  <si>
    <t>КОММУНАЛЬНОЕ ГОСУДАРСТВЕННОЕ УЧРЕЖДЕНИЕ АППАРАТ АКИМА САРЫСУСКОГО РАЙОНА ЖАМБЫЛСКОЙ ОБЛАСТИ</t>
  </si>
  <si>
    <t>https://tenderplus.kz/zakupki/48737385</t>
  </si>
  <si>
    <t>050540000581</t>
  </si>
  <si>
    <t>АКЦИОНЕРНОЕ ОБЩЕСТВО МОЙНАКСКАЯ ГИДРОЭЛЕКТРОСТАНЦИЯ ИМЕНИ У.Д.КАНТАЕВА</t>
  </si>
  <si>
    <t>090340007747</t>
  </si>
  <si>
    <t>ТОВАРИЩЕСТВО С ОГРАНИЧЕННОЙ ОТВЕТСТВЕННОСТЬЮ СК-ФАРМАЦИЯ</t>
  </si>
  <si>
    <t>https://tenderplus.kz/zakupki/48657640</t>
  </si>
  <si>
    <t>050240003248</t>
  </si>
  <si>
    <t>ГОСУДАРСТВЕННОЕ УЧРЕЖДЕНИЕ УПРАВЛЕНИЕ ПО ГОСУДАРСТВЕННЫМ ЗАКУПКАМ И КОММУНАЛЬНОЙ СОБСТВЕННОСТИ АТЫРАУСКОЙ ОБЛАСТИ</t>
  </si>
  <si>
    <t>https://tenderplus.kz/zakupki/49247179</t>
  </si>
  <si>
    <t>Атырауская область</t>
  </si>
  <si>
    <t xml:space="preserve">	ООО «Коммуникации Казахстан»</t>
  </si>
  <si>
    <t>020540003431</t>
  </si>
  <si>
    <t>АКЦИОНЕРНОЕ ОБЩЕСТВО НАЦИОНАЛЬНАЯ КОМПАНИЯ ҚАЗАҚСТАН ТЕМІР ЖОЛЫ</t>
  </si>
  <si>
    <t>https://tenderplus.kz/zakupki/48946706; https://tenderplus.kz/zakupki/48946705; https://tenderplus.kz/zakupki/48946703; https://tenderplus.kz/zakupki/48946701;https://tenderplus.kz/zakupki/48946700</t>
  </si>
  <si>
    <t>ТОО "BESupply"</t>
  </si>
  <si>
    <t>120940011577</t>
  </si>
  <si>
    <t>АКЦИОНЕРНОЕ ОБЩЕСТВО ГОСУДАРСТВЕННОЕ КРЕДИТНОЕ БЮРО</t>
  </si>
  <si>
    <t>070540008194</t>
  </si>
  <si>
    <t>АКЦИОНЕРНОЕ ОБЩЕСТВО САМРУК-ЭНЕРГО</t>
  </si>
  <si>
    <t>980240001790</t>
  </si>
  <si>
    <t>РЕСПУБЛИКАНСКОЕ ГОСУДАРСТВЕННОЕ ПРЕДПРИЯТИЕ НА ПРАВЕ ХОЗЯЙСТВЕННОГО ВЕДЕНИЯ ҚАЗАРНАУЛЫЭКСПОРТ (КАЗСПЕЦЭКСПОРТ) КОМИТЕТА ГОСУДАРСТВЕННОГО ОБОРОННОГО ЗАКАЗА МИНИСТЕРСТВА ПРОМЫШЛЕННОСТИ И СТРОИТЕЛЬСТВА РЕСПУБЛИКИ КАЗАХСТАН</t>
  </si>
  <si>
    <t>ТОО «JB Works»</t>
  </si>
  <si>
    <t>110740017735</t>
  </si>
  <si>
    <t>АКЦИОНЕРНОЕ ОБЩЕСТВО НАЦИОНАЛЬНЫЙ ЦЕНТР ГОСУДАРСТВЕННОЙ НАУЧНО-ТЕХНИЧЕСКОЙ ЭКСПЕРТИЗЫ</t>
  </si>
  <si>
    <t xml:space="preserve">	ТОО "Digital Qalqan"</t>
  </si>
  <si>
    <t>220740001345</t>
  </si>
  <si>
    <t>ГОСУДАРСТВЕННОЕ УЧРЕЖДЕНИЕ УПРАВЛЕНИЕ ГОСУДАРСТВЕННЫХ ЗАКУПОК ОБЛАСТИ ҰЛЫТАУ</t>
  </si>
  <si>
    <t>https://tenderplus.kz/zakupki/48962724</t>
  </si>
  <si>
    <t>Улытауская область</t>
  </si>
  <si>
    <t>РГП на ПХВ "Национальный научный центр развития здравоохранения имени Салидат Каирбековой" Министерства здравоохранения Республики Казахстан</t>
  </si>
  <si>
    <t>200440006669</t>
  </si>
  <si>
    <t>КОММУНАЛЬНОЕ ГОСУДАРСТВЕННОЕ УЧРЕЖДЕНИЕ «УПРАВЛЕНИЕ ПО ГОСУДАРСТВЕННЫМ ЗАКУПКАМ И КОММУНАЛЬНОЙ СОБСТВЕННОСТИ АКИМАТА СЕВЕРО-КАЗАХСТАНСКОЙ ОБЛАСТИ»</t>
  </si>
  <si>
    <t>https://tenderplus.kz/zakupki/48558966</t>
  </si>
  <si>
    <t>Северо-Казахстанская область (СКО)</t>
  </si>
  <si>
    <t>141240027811</t>
  </si>
  <si>
    <t>ГОСУДАРСТВЕННОЕ УЧРЕЖДЕНИЕ УПРАВЛЕНИЕ АКТИВОВ И ГОСУДАРСТВЕННЫХ ЗАКУПОК ГОРОДА АСТАНЫ</t>
  </si>
  <si>
    <t>https://tenderplus.kz/zakupki/49257341</t>
  </si>
  <si>
    <t>Отменен</t>
  </si>
  <si>
    <t>990240001930</t>
  </si>
  <si>
    <t>КОММУНАЛЬНОЕ ГОСУДАРСТВЕННОЕ УЧРЕЖДЕНИЕ АКМОЛИНСКИЙ РЕГИОНАЛЬНЫЙ ЦЕНТР НОВЫХ ТЕХНОЛОГИЙ В ОБРАЗОВАНИИ УПРАВЛЕНИЯ ОБРАЗОВАНИЯ АКМОЛИНСКОЙ ОБЛАСТИ</t>
  </si>
  <si>
    <t>https://tenderplus.kz/zakupki/48672632</t>
  </si>
  <si>
    <t xml:space="preserve">	Акционерное общество «Казтелепорт» — дочерняя компания «Халык Банка Казахстана»</t>
  </si>
  <si>
    <t>090240000101</t>
  </si>
  <si>
    <t>121140007215</t>
  </si>
  <si>
    <t>АКЦИОНЕРНОЕ ОБЩЕСТВО КАЗАХСКИЙ НАУЧНО-ИССЛЕДОВАТЕЛЬСКИЙ И ПРОЕКТНЫЙ ИНСТИТУТ СТРОИТЕЛЬСТВА И АРХИТЕКТУРЫ</t>
  </si>
  <si>
    <t>https://tenderplus.kz/zakupki/48413783</t>
  </si>
  <si>
    <t>021240003265</t>
  </si>
  <si>
    <t>АКЦИОНЕРНОЕ ОБЩЕСТВО СИТУАЦИОННО-АНАЛИТИЧЕСКИЙ ЦЕНТР ТОПЛИВНО-ЭНЕРГЕТИЧЕСКОГО КОМПЛЕКСА РЕСПУБЛИКИ КАЗАХСТАН</t>
  </si>
  <si>
    <t>https://tenderplus.kz/zakupki/48787695; https://tenderplus.kz/zakupki/48786709</t>
  </si>
  <si>
    <t>000140001853</t>
  </si>
  <si>
    <t>РГП НА ПХВ НАЦИОНАЛЬНЫЙ ЦЕНТР ТЕСТИРОВАНИЯ</t>
  </si>
  <si>
    <t>=ГИПЕРССЫЛКА("https://tenderplus.kz/zakupki/43329123","Услуги по обеспечению информационной безопасности")</t>
  </si>
  <si>
    <t>https://tenderplus.kz/zakupki/48309621</t>
  </si>
  <si>
    <t>050140007712</t>
  </si>
  <si>
    <t>КОММУНАЛЬНОЕ ГОСУДАРСТВЕННОЕ УЧРЕЖДЕНИЕ АППАРАТ АКИМА СУЛУТОРСКОГО СЕЛЬСКОГО ОКРУГА КОРДАЙСКОГО РАЙОНА ЖАМБЫЛСКОЙ ОБЛАСТИ</t>
  </si>
  <si>
    <t>https://tenderplus.kz/zakupki/43886155</t>
  </si>
  <si>
    <t>140440014725</t>
  </si>
  <si>
    <t>https://tenderplus.kz/zakupki/49229021</t>
  </si>
  <si>
    <t>Кызылординская область</t>
  </si>
  <si>
    <t>941240000758</t>
  </si>
  <si>
    <t>ГОСУДАРСТВЕННОЕ УЧРЕЖДЕНИЕ АППАРАТ АКИМА ЗАПАДНО-КАЗАХСТАНСКОЙ ОБЛАСТИ</t>
  </si>
  <si>
    <t>https://tenderplus.kz/zakupki/49514274</t>
  </si>
  <si>
    <t>Западно-Казахстанская область (ЗКО)</t>
  </si>
  <si>
    <t>https://tenderplus.kz/zakupki/49521770</t>
  </si>
  <si>
    <t>060640009560</t>
  </si>
  <si>
    <t>ТОВАРИЩЕСТВО С ОГРАНИЧЕННОЙ ОТВЕТСТВЕННОСТЬЮ KAP TECHNOLOGY</t>
  </si>
  <si>
    <t>071140005693</t>
  </si>
  <si>
    <t>АКЦИОНЕРНОЕ ОБЩЕСТВО ЦЕНТР ЭЛЕКТРОННЫХ ФИНАНСОВ</t>
  </si>
  <si>
    <t>https://tenderplus.kz/zakupki/49408926</t>
  </si>
  <si>
    <t>151240022545</t>
  </si>
  <si>
    <t>ГОСУДАРСТВЕННОЕ УЧРЕЖДЕНИЕ АГЕНТСТВО РЕСПУБЛИКИ КАЗАХСТАН ПО ДЕЛАМ ГОСУДАРСТВЕННОЙ СЛУЖБЫ</t>
  </si>
  <si>
    <t>https://tenderplus.kz/zakupki/49307293</t>
  </si>
  <si>
    <t>940940000413</t>
  </si>
  <si>
    <t>ГОСУДАРСТВЕННОЕ УЧРЕЖДЕНИЕ ДЕПАРТАМЕНТ ПОЛИЦИИ КОСТАНАЙСКОЙ ОБЛАСТИ МИНИСТЕРСТВА ВНУТРЕННИХ ДЕЛ РЕСПУБЛИКИ КАЗАХСТАН</t>
  </si>
  <si>
    <t>Не задан</t>
  </si>
  <si>
    <t>110740001729</t>
  </si>
  <si>
    <t>ТОВАРИЩЕСТВО С ОГРАНИЧЕННОЙ ОТВЕТСТВЕННОСТЬЮ KMG PETROCHEM</t>
  </si>
  <si>
    <t>ТОО "Communications Kazakhstan"</t>
  </si>
  <si>
    <t>971140000775</t>
  </si>
  <si>
    <t>https://tenderplus.kz/zakupki/49323311; https://tenderplus.kz/zakupki/49349308; https://tenderplus.kz/zakupki/49219182; https://tenderplus.kz/zakupki/48510112; https://tenderplus.kz/zakupki/48470276; https://tenderplus.kz/zakupki/48425987; https://tenderplus.kz/zakupki/48339165</t>
  </si>
  <si>
    <t xml:space="preserve">	ТОО "BESupply"</t>
  </si>
  <si>
    <t>961240001056</t>
  </si>
  <si>
    <t>КОММУНАЛЬНОЕ ГОСУДАРСТВЕННОЕ УЧРЕЖДЕНИЕ ОБЩЕОБРАЗОВАТЕЛЬНАЯ ШКОЛА № 2 ОТДЕЛА ОБРАЗОВАНИЯ ГОРОДА ПРИОЗЕРСК УПРАВЛЕНИЯ ОБРАЗОВАНИЯ КАРАГАНДИНСКОЙ ОБЛАСТИ</t>
  </si>
  <si>
    <t>Карагандинская область</t>
  </si>
  <si>
    <t>ИП МАДЕЛИЕВ</t>
  </si>
  <si>
    <t>920240000682</t>
  </si>
  <si>
    <t>КОММУНАЛЬНОЕ ГОСУДАРСТВЕННОЕ УЧРЕЖДЕНИЕ АППАРАТ АКИМА ЖУАЛЫНСКОГО РАЙОНА ЖАМБЫЛСКОЙ ОБЛАСТИ</t>
  </si>
  <si>
    <t>https://tenderplus.kz/zakupki/48821403</t>
  </si>
  <si>
    <t>030240000329</t>
  </si>
  <si>
    <t>ТОВАРИЩЕСТВО С ОГРАНИЧЕННОЙ ОТВЕТСТВЕННОСТЬЮ МАНГИСТАУСКИЙ АТОМНЫЙ ЭНЕРГЕТИЧЕСКИЙ КОМБИНАТ</t>
  </si>
  <si>
    <t>https://tenderplus.kz/zakupki/48492770</t>
  </si>
  <si>
    <t>ТОО "IntelX"</t>
  </si>
  <si>
    <t>ТОО "Communications Kazakhstan" (Коммуникейшнс Казахстан)</t>
  </si>
  <si>
    <t>021140000722</t>
  </si>
  <si>
    <t>ТОВАРИЩЕСТВО С ОГРАНИЧЕННОЙ ОТВЕТСТВЕННОСТЬЮ ҚАРАҒАНДЫ ЖАРЫҚ</t>
  </si>
  <si>
    <t>https://idp2.ccx.kz/realms/istd/protocol/openid-connect/auth?client_id=angular-frontend&amp;redirect_uri=https%3A%2F%2Ftd.ccx.kz%2Fcabinet&amp;state=881293d3-23c7-4aaa-87ce-c5e85e6c865f&amp;response_mode=fragment&amp;response_type=code&amp;scope=openid</t>
  </si>
  <si>
    <t>941040000235</t>
  </si>
  <si>
    <t>ГОСУДАРСТВЕННОЕ УЧРЕЖДЕНИЕ МИНИСТЕРСТВО СЕЛЬСКОГО ХОЗЯЙСТВА РЕСПУБЛИКИ КАЗАХСТАН</t>
  </si>
  <si>
    <t>https://tenderplus.kz/zakupki/49245183</t>
  </si>
  <si>
    <t>000440004234</t>
  </si>
  <si>
    <t>КОММУНАЛЬНОЕ ГОСУДАРСТВЕННОЕ УЧРЕЖДЕНИЕ АППАРАТ АКИМА БАЙЗАКСКОГО РАЙОНА</t>
  </si>
  <si>
    <t>https://tenderplus.kz/zakupki/48843234</t>
  </si>
  <si>
    <t>200240008519</t>
  </si>
  <si>
    <t>ГОСУДАРСТВЕННОЕ КОММУНАЛЬНОЕ ПРЕДПРИЯТИЕ НА ПРАВЕ ХОЗЯЙСТВЕННОГО ВЕДЕНИЯ ЖАМБЫЛСКАЯ ОБЛАСТНАЯ МНОГОПРОФИЛЬНАЯ БОЛЬНИЦА УПРАВЛЕНИЯ ЗДРАВООХРАНЕНИЯ АКИМАТА ЖАМБЫЛСКОЙ ОБЛАСТИ</t>
  </si>
  <si>
    <t>200940032735</t>
  </si>
  <si>
    <t>ГОСУДАРСТВЕННОЕ УЧРЕЖДЕНИЕ УПРАВЛЕНИЕ ЦИФРОВИЗАЦИИ И АРХИВОВ ВОСТОЧНО-КАЗАХСТАНСКОЙ ОБЛАСТИ</t>
  </si>
  <si>
    <t>230540038498</t>
  </si>
  <si>
    <t>ГОСУДАРСТВЕННОЕ УЧРЕЖДЕНИЕ УПРАВЛЕНИЕ ЦИФРОВЫХ ТЕХНОЛОГИЙ ОБЛАСТИ ҰЛЫТАУ</t>
  </si>
  <si>
    <t>960840000483</t>
  </si>
  <si>
    <t>АКЦИОНЕРНОЕ ОБЩЕСТВО АЛАТАУ ЖАРЫҚ КОМПАНИЯСЫ</t>
  </si>
  <si>
    <t>110940017881</t>
  </si>
  <si>
    <t>КОММУНАЛЬНОЕ ГОСУДАРСТВЕННОЕ УЧРЕЖДЕНИЕ РЕВИЗИОННАЯ КОМИССИЯ ПО ЖАМБЫЛСКОЙ ОБЛАСТИ</t>
  </si>
  <si>
    <t>https://tenderplus.kz/zakupki/49018479</t>
  </si>
  <si>
    <t>000840002272</t>
  </si>
  <si>
    <t>КОММУНАЛЬНОЕ ГОСУДАРСТВЕННОЕ УЧРЕЖДЕНИЕ АППАРАТ АКИМА МАСАНЧИНСКОГО СЕЛЬСКОГО ОКРУГА КОРДАЙСКОГО РАЙОНА ЖАМБЫЛСКОЙ ОБЛАСТИ</t>
  </si>
  <si>
    <t>030341004132</t>
  </si>
  <si>
    <t>ЖАМБЫЛСКИЙ ОБЛАСТНОЙ ФИЛИАЛ АКЦИОНЕРНОГО ОБЩЕСТВА РЕСПУБЛИКАНСКАЯ ТЕЛЕРАДИОКОРПОРАЦИЯ КАЗАХСТАН</t>
  </si>
  <si>
    <t>https://idp2.ccx.kz/realms/istd/protocol/openid-connect/auth?client_id=angular-frontend&amp;redirect_uri=https%3A%2F%2Ftd.ccx.kz%2Fcabinet&amp;state=16583b73-b147-4526-9297-e87d10cd3f17&amp;response_mode=fragment&amp;response_type=code&amp;scope=openid</t>
  </si>
  <si>
    <t>010540001007</t>
  </si>
  <si>
    <t>АКЦИОНЕРНОЕ ОБЩЕСТВО БАНК РАЗВИТИЯ КАЗАХСТАНА</t>
  </si>
  <si>
    <t>TOO "BESupply"</t>
  </si>
  <si>
    <t>180541015056</t>
  </si>
  <si>
    <t>АТЫРАУСКИЙ ФИЛИАЛ ТОВАРИЩЕСТВА С ОГРАНИЧЕННОЙ ОТВЕТСТВЕННОСТЬЮ КМГ ИНЖИНИРИНГ</t>
  </si>
  <si>
    <t>240940035132</t>
  </si>
  <si>
    <t>НЕКОММЕРЧЕСКОЕ АКЦИОНЕРНОЕ ОБЩЕСТВО КАРАГАНДИНСКИЙ МЕДИЦИНСКИЙ УНИВЕРСИТЕТ</t>
  </si>
  <si>
    <t>https://tenderplus.kz/zakupki/49288256</t>
  </si>
  <si>
    <t>ТОО "ITSOC"</t>
  </si>
  <si>
    <t>000540002083</t>
  </si>
  <si>
    <t>АКЦИОНЕРНОЕ ОБЩЕСТВО КАЗТЕЛЕРАДИО</t>
  </si>
  <si>
    <t xml:space="preserve">	АО "ASTEL" (АСТЕЛ)</t>
  </si>
  <si>
    <t>980841004603</t>
  </si>
  <si>
    <t>ЗАПАДНО-КАЗАХСТАНСКИЙ ОБЛАСТНОЙ ФИЛИАЛ АКЦИОНЕРНОГО ОБЩЕСТВА РЕСПУБЛИКАНСКАЯ ТЕЛЕРАДИОКОРПОРАЦИЯ КАЗАХСТАН</t>
  </si>
  <si>
    <t>ТОО "RTeam"</t>
  </si>
  <si>
    <t>000441001532</t>
  </si>
  <si>
    <t>АТЫРАУСКИЙ ОБЛАСТНОЙ ФИЛИАЛ АКЦИОНЕРНОГО ОБЩЕСТВА РЕСПУБЛИКАНСКАЯ ТЕЛЕРАДИОКОРПОРАЦИЯ КАЗАХСТАН</t>
  </si>
  <si>
    <t>ТОО «ALAN TECHNOLOGY GROUP»</t>
  </si>
  <si>
    <t>070540007641</t>
  </si>
  <si>
    <t>АКЦИОНЕРНОЕ ОБЩЕСТВО QAZAQSTAN INVESTMENT CORPORATION</t>
  </si>
  <si>
    <t>040540002724</t>
  </si>
  <si>
    <t>КОММУНАЛЬНОЕ ГОСУДАРСТВЕННОЕ ПРЕДПРИЯТИЕ НА ПРАВЕ ХОЗЯЙСТВЕННОГО ВЕДЕНИЯ ЦЕНТРАЛЬНАЯ РАЙОННАЯ БОЛЬНИЦА БАЙЗАКСКОГО РАЙОНА УПРАВЛЕНИЯ ЗДРАВООХРАНЕНИЯ АКИМАТА ЖАМБЫЛСКОЙ ОБЛАСТИ</t>
  </si>
  <si>
    <t xml:space="preserve">	ИП "ИлЕр" Distribution</t>
  </si>
  <si>
    <t>140940028258</t>
  </si>
  <si>
    <t>ГОСУДАРСТВЕННОЕ УЧРЕЖДЕНИЕ УПРАВЛЕНИЕ ПО ГОСУДАРСТВЕННЫМ ЗАКУПКАМ АКТЮБИНСКОЙ ОБЛАСТИ</t>
  </si>
  <si>
    <t>https://tenderplus.kz/zakupki/48770136; https://tenderplus.kz/zakupki/48971776</t>
  </si>
  <si>
    <t>Актюбинская область</t>
  </si>
  <si>
    <t>250240004278</t>
  </si>
  <si>
    <t>КОММУНАЛЬНОЕ ГОСУДАРСТВЕННОЕ УЧРЕЖДЕНИЕ ОТДЕЛ ГОСУДАРСТВЕННЫХ ЗАКУПОК АКИМАТА ГОРОДА ТАРАЗ</t>
  </si>
  <si>
    <t>https://tenderplus.kz/zakupki/49189291; https://tenderplus.kz/zakupki/49352144</t>
  </si>
  <si>
    <t>031040001799</t>
  </si>
  <si>
    <t>ТОВАРИЩЕСТВО С ОГРАНИЧЕННОЙ ОТВЕТСТВЕННОСТЬЮ КТЖ-ГРУЗОВЫЕ ПЕРЕВОЗКИ</t>
  </si>
  <si>
    <t>941040000097</t>
  </si>
  <si>
    <t>АКЦИОНЕРНОЕ ОБЩЕСТВО УЛЬБИНСКИЙ МЕТАЛЛУРГИЧЕСКИЙ ЗАВОД</t>
  </si>
  <si>
    <t>ТОО ""KAP
Technology"</t>
  </si>
  <si>
    <t>110540005744</t>
  </si>
  <si>
    <t>Товарищество с
ограниченной
ответственностью
"QazCloud (КазКлауд)</t>
  </si>
  <si>
    <t>https://td.ccx.kz/trades/profile/33427</t>
  </si>
  <si>
    <t>990240007414</t>
  </si>
  <si>
    <t>НЕКОММЕРЧЕСКОЕ АКЦИОНЕРНОЕ ОБЩЕСТВО ВОСТОЧНО-КАЗАХСТАНСКИЙ УНИВЕРСИТЕТ ИМЕНИ САРСЕНА АМАНЖОЛОВА</t>
  </si>
  <si>
    <t xml:space="preserve">	ТОО "ILER Integration"</t>
  </si>
  <si>
    <t>230440045526</t>
  </si>
  <si>
    <t>КОММУНАЛЬНОЕ ГОСУДАРСТВЕННОЕ УЧРЕЖДЕНИЕ ОТДЕЛ ГОСУДАРСТВЕННЫХ АКТИВОВ И ЗАКУПОК АКИМАТА ГОРОДА ПЕТРОПАВЛОВСКА</t>
  </si>
  <si>
    <t>https://tenderplus.kz/zakupki/49011265</t>
  </si>
  <si>
    <t>960640000436</t>
  </si>
  <si>
    <t>980540002879</t>
  </si>
  <si>
    <t>АКЦИОНЕРНОЕ ОБЩЕСТВО КСЕЛЛ</t>
  </si>
  <si>
    <t>АО "Казахтелеком</t>
  </si>
  <si>
    <t>991240001527</t>
  </si>
  <si>
    <t>КОММУНАЛЬНОЕ ГОСУДАРСТВЕННОЕ УЧРЕЖДЕНИЕ ОТДЕЛ ФИНАНСОВ АКИМАТА КОРДАЙСКОГО РАЙОНА ЖАМБЫЛСКОЙ ОБЛАСТИ</t>
  </si>
  <si>
    <t xml:space="preserve">	ТОО "IntelX"</t>
  </si>
  <si>
    <t>231040017251</t>
  </si>
  <si>
    <t>РЕСПУБЛИКАНСКОЕ ГОСУДАРСТВЕННОЕ УЧРЕЖДЕНИЕ КОМИТЕТ АВТОМОБИЛЬНОГО ТРАНСПОРТА И ТРАНСПОРТНОГО КОНТРОЛЯ МИНИСТЕРСТВА ТРАНСПОРТА РЕСПУБЛИКИ КАЗАХСТАН</t>
  </si>
  <si>
    <t>https://tenderplus.kz/zakupki/48543029</t>
  </si>
  <si>
    <t>210240012422</t>
  </si>
  <si>
    <t>КОММУНАЛЬНОЕ ГОСУДАРСТВЕННОЕ УЧРЕЖДЕНИЕ УПРАВЛЕНИЕ ЦИФРОВИЗАЦИИ И АРХИВОВ АКИМАТА ЖАМБЫЛСКОЙ ОБЛАСТИ</t>
  </si>
  <si>
    <t>https://tenderplus.kz/zakupki/48728562</t>
  </si>
  <si>
    <t>180541009170</t>
  </si>
  <si>
    <t>ФИЛИАЛ ТОВАРИЩЕСТВА С ОГРАНИЧЕННОЙ ОТВЕТСТВЕННОСТЬЮ КМГ ИНЖИНИРИНГ КАЗНИПИМУНАЙГАЗ</t>
  </si>
  <si>
    <t>060440002000</t>
  </si>
  <si>
    <t>ТОВАРИЩЕСТВО С ОГРАНИЧЕННОЙ ОТВЕТСТВЕННОСТЬЮ РУ-6</t>
  </si>
  <si>
    <t>000240001847</t>
  </si>
  <si>
    <t>https://tenderplus.kz/zakupki/49347386</t>
  </si>
  <si>
    <t>150240013345</t>
  </si>
  <si>
    <t>ГОСУДАРСТВЕННОЕ УЧРЕЖДЕНИЕ УПРАВЛЕНИЕ ГОСУДАРСТВЕННЫХ ЗАКУПОК ТУРКЕСТАНСКОЙ ОБЛАСТИ</t>
  </si>
  <si>
    <t>Туркестанская область</t>
  </si>
  <si>
    <t xml:space="preserve">	ТОО "IT-TRY"</t>
  </si>
  <si>
    <t>031040000572</t>
  </si>
  <si>
    <t>ТОО "KAZOPTICLINK"</t>
  </si>
  <si>
    <t>220740008997</t>
  </si>
  <si>
    <t>ГОСУДАРСТВЕННОЕ УЧРЕЖДЕНИЕ УПРАВЛЕНИЕ ГОСУДАРСТВЕННЫХ ЗАКУПОК ОБЛАСТИ ЖЕТІСУ</t>
  </si>
  <si>
    <t>Услуги по обеспечению информационной безопасности в Жетысуской области</t>
  </si>
  <si>
    <t>Жетысуская область</t>
  </si>
  <si>
    <t>240940026321</t>
  </si>
  <si>
    <t>НЕКОММЕРЧЕСКОЕ АКЦИОНЕРНОЕ ОБЩЕСТВО ТАРАЗСКИЙ УНИВЕРСИТЕТ ИМЕНИ М.Х. ДУЛАТИ</t>
  </si>
  <si>
    <t>991040003000</t>
  </si>
  <si>
    <t>КОММУНАЛЬНОЕ ГОСУДАРСТВЕННОЕ УЧРЕЖДЕНИЕ АППАРАТ АКИМА МЕРКЕНСКОГО РАЙОНА</t>
  </si>
  <si>
    <t>Услуги по обеспечению информационной безопасности в Жамбылской области</t>
  </si>
  <si>
    <t>010140003594</t>
  </si>
  <si>
    <t>НЕКОММЕРЧЕСКОЕ АКЦИОНЕРНОЕ ОБЩЕСТВО ЕВРАЗИЙСКИЙ НАЦИОНАЛЬНЫЙ УНИВЕРСИТЕТ ИМЕНИ Л.Н.ГУМИЛЕВА</t>
  </si>
  <si>
    <t>Услуги по обеспечению информационной безопасности в Астане</t>
  </si>
  <si>
    <t>ТОО «Коммуникации Казахстан» (Коммуникации Казахстан)</t>
  </si>
  <si>
    <t>Услуги по обеспечению информационной безопасности в Карагандинской области</t>
  </si>
  <si>
    <t>ТОО  "Life 2 Win Consulting"</t>
  </si>
  <si>
    <t>960340001136</t>
  </si>
  <si>
    <t>ТОВАРИЩЕСТВО С ОГРАНИЧЕННОЙ ОТВЕТСТВЕННОСТЬЮ СОВМЕСТНОЕ ПРЕДПРИЯТИЕ ИНКАЙ</t>
  </si>
  <si>
    <t>990540002444</t>
  </si>
  <si>
    <t>НЕКОММЕРЧЕСКОЕ АКЦИОНЕРНОЕ ОБЩЕСТВО КАРАГАНДИНСКИЙ УНИВЕРСИТЕТ ИМЕНИ АКАДЕМИКА Е. А. БУКЕТОВА</t>
  </si>
  <si>
    <t>091240012920</t>
  </si>
  <si>
    <t>ТОВАРИЩЕСТВО С ОГРАНИЧЕННОЙ ОТВЕТСТВЕННОСТЬЮ ТАУ-КЕН АЛТЫН</t>
  </si>
  <si>
    <t>ТОО "ITS Solution"</t>
  </si>
  <si>
    <t>990140004119</t>
  </si>
  <si>
    <t>КОММУНАЛЬНОЕ ГОСУДАРСТВЕННОЕ УЧРЕЖДЕНИЕ АППАРАТ АКИМА РАЙОНА Т.РЫСКУЛОВА</t>
  </si>
  <si>
    <t>150140023299</t>
  </si>
  <si>
    <t>КОММУНАЛЬНОЕ ГОСУДАРСТВЕННОЕ УЧРЕЖДЕНИЕ УПРАВЛЕНИЕ ГОСУДАРСТВЕННОГО АРХИТЕКТУРНО-СТРОИТЕЛЬНОГО КОНТРОЛЯ АКИМАТА ЖАМБЫЛСКОЙ ОБЛАСТИ</t>
  </si>
  <si>
    <t>Услуги по обеспечению информационной безопасности Услуги по обеспечению информационной безопасности в Жамбылской области</t>
  </si>
  <si>
    <t>220840048968</t>
  </si>
  <si>
    <t>ГОСУДАРСТВЕННОЕ УЧРЕЖДЕНИЕ МИНИСТЕРСТВО НАУКИ И ВЫСШЕГО ОБРАЗОВАНИЯ РЕСПУБЛИКИ КАЗАХСТАН</t>
  </si>
  <si>
    <t xml:space="preserve">	ТОО "INFOMAX"</t>
  </si>
  <si>
    <t>161140016747</t>
  </si>
  <si>
    <t>РЕСПУБЛИКАНСКОЕ ГОСУДАРСТВЕННОЕ УЧРЕЖДЕНИЕ МИНИСТЕРСТВО ЦИФРОВОГО РАЗВИТИЯ, ИННОВАЦИЙ И АЭРОКОСМИЧЕСКОЙ ПРОМЫШЛЕННОСТИ РЕСПУБЛИКИ КАЗАХСТАН</t>
  </si>
  <si>
    <t>120540019776</t>
  </si>
  <si>
    <t>ТОВАРИЩЕСТВО С ОГРАНИЧЕННОЙ ОТВЕТСТВЕННОСТЬЮ УПРАВЛЯЮЩАЯ КОМПАНИЯ ҚАЗМЕДИА ОРТАЛЫҒЫ</t>
  </si>
  <si>
    <t>ТОО "CyberOne"</t>
  </si>
  <si>
    <t>071140024977</t>
  </si>
  <si>
    <t>КОММУНАЛЬНОЕ ГОСУДАРСТВЕННОЕ ПРЕДПРИЯТИЕ НА ПРАВЕ ХОЗЯЙСТВЕННОГО ВЕДЕНИЯ ЦЕНТР МАТЕРИ И РЕБЕНКА УПРАВЛЕНИЯ ЗДРАВООХРАНЕНИЯ ВОСТОЧНО-КАЗАХСТАНСКОГО ОБЛАСТНОГО АКИМАТА</t>
  </si>
  <si>
    <t> ТОО "Rating"</t>
  </si>
  <si>
    <t>220840049086</t>
  </si>
  <si>
    <t>ГОСУДАРСТВЕННОЕ УЧРЕЖДЕНИЕ МИНИСТЕРСТВО ПРОСВЕЩЕНИЯ РЕСПУБЛИКИ КАЗАХСТАН</t>
  </si>
  <si>
    <t>950640000800</t>
  </si>
  <si>
    <t>КОММУНАЛЬНОЕ ГОСУДАРСТВЕННОЕ ПРЕДПРИЯТИЕ КОСТАНАЙСКАЯ ОБЛАСТНАЯ СТАНЦИЯ СКОРОЙ НЕОТЛОЖНОЙ МЕДИЦИНСКОЙ ПОМОЩИ УПРАВЛЕНИЯ ЗДРАВООХРАНЕНИЯ АКИМАТА КОСТАНАЙСКОЙ ОБЛАСТИ</t>
  </si>
  <si>
    <t>Услуги по обеспечению информационной безопасности Услуги по обеспечению информационной безопасности в Костанайской области</t>
  </si>
  <si>
    <t>140241014416</t>
  </si>
  <si>
    <t>ФИЛИАЛ ДИРЕКЦИЯ ПЛАТНЫХ АВТОМОБИЛЬНЫХ ДОРОГ АО НАЦИОНАЛЬНАЯ КОМПАНИЯ ҚАЗАВТОЖОЛ</t>
  </si>
  <si>
    <t>190740017066</t>
  </si>
  <si>
    <t>ГОСУДАРСТВЕННОЕ УЧРЕЖДЕНИЕ МИНИСТЕРСТВО ТОРГОВЛИ И ИНТЕГРАЦИИ РЕСПУБЛИКИ КАЗАХСТАН</t>
  </si>
  <si>
    <t>220740000535</t>
  </si>
  <si>
    <t>КОММУНАЛЬНОЕ ГОСУДАРСТВЕННОЕ ПРЕДПРИЯТИЕ НА ПРАВЕ ХОЗЯЙСТВЕННОГО ВЕДЕНИЯ АЛМАТЫ ПАРКИНГ УПРАВЛЕНИЯ ГОРОДСКОЙ МОБИЛЬНОСТИ ГОРОДА АЛМАТЫ</t>
  </si>
  <si>
    <t>ТОО "SAFA SERVICE"</t>
  </si>
  <si>
    <t>000240004524</t>
  </si>
  <si>
    <t>НЕКОММЕРЧЕСКОЕ АКЦИОНЕРНОЕ ОБЩЕСТВО КАРАГАНДИНСКИЙ ТЕХНИЧЕСКИЙ УНИВЕРСИТЕТ ИМЕНИ АБЫЛКАСА САГИНОВА</t>
  </si>
  <si>
    <t>050340004705</t>
  </si>
  <si>
    <t>КОММУНАЛЬНОЕ ГОСУДАРСТВЕННОЕ УЧРЕЖДЕНИЕ ЦЕНТР ЕДИНОЙ ИНФОРМАЦИОННОЙ СИСТЕМЫ ОБРАЗОВАНИЯ УПРАВЛЕНИЯ ОБРАЗОВАНИЯ АКИМАТА ЖАМБЫЛСКОЙ ОБЛАСТИ</t>
  </si>
  <si>
    <t>861240000017</t>
  </si>
  <si>
    <t>КОММУНАЛЬНОЕ ГОСУДАРСТВЕННОЕ ПРЕДПРИЯТИЕ НА ПРАВЕ ХОЗЯЙСТВЕННОГО ВЕДЕНИЯ «СЛУЖБА СКОРОЙ МЕДИЦИНСКОЙ ПОМОЩИ» УПРАВЛЕНИЯ ОБЩЕСТВЕННОГО ЗДРАВООХРАНЕНИЯ ГОРОДА АЛМАТЫ</t>
  </si>
  <si>
    <t>Услуги по обеспечению информационной безопасности Услуги по обеспечению информационной безопасности в Алматы</t>
  </si>
  <si>
    <t>010840003460</t>
  </si>
  <si>
    <t>АКЦИОНЕРНОЕ ОБЩЕСТВО АКАДЕМИЯ ГРАЖДАНСКОЙ АВИАЦИИ</t>
  </si>
  <si>
    <t>ТОО "CYBERFOX"</t>
  </si>
  <si>
    <t>Услуги по обеспечению информационной безопасности в Жамбылской области ; https://tenderplus.kz/zakupki/49602303</t>
  </si>
  <si>
    <t xml:space="preserve">	ТОО "Communications Kazakhstan" (Коммуникейшнс Казахстан)</t>
  </si>
  <si>
    <t>130840021720</t>
  </si>
  <si>
    <t>НЕКОММЕРЧЕСКОЕ АКЦИОНЕРНОЕ ОБЩЕСТВО АКТЮБИНСКИЙ РЕГИОНАЛЬНЫЙ УНИВЕРСИТЕТ ИМЕНИ К.ЖУБАНОВА</t>
  </si>
  <si>
    <t>950640000533</t>
  </si>
  <si>
    <t>ГОСУДАРСТВЕННОЕ УЧРЕЖДЕНИЕ УПРАВЛЕНИЕ ИНФОРМАТИЗАЦИИ, ОКАЗАНИЯ ГОСУДАРСТВЕННЫХ УСЛУГ И АРХИВОВ АКИМАТА КОСТАНАЙСКОЙ ОБЛАСТИ</t>
  </si>
  <si>
    <t>Услуги по обеспечению информационной безопасности в Костанайской области</t>
  </si>
  <si>
    <t>220740017986</t>
  </si>
  <si>
    <t>ГОСУДАРСТВЕННОЕ УЧРЕЖДЕНИЕ УПРАВЛЕНИЕ ГОСУДАРСТВЕННЫХ ЗАКУПОК ОБЛАСТИ АБАЙ</t>
  </si>
  <si>
    <t>000140002217</t>
  </si>
  <si>
    <t>961040001524</t>
  </si>
  <si>
    <t>АКЦИОНЕРНОЕ ОБЩЕСТВО ЖЕЗКАЗГАНСКАЯ РАСПРЕДЕЛИТЕЛЬНАЯ ЭЛЕКТРОСЕТЕВАЯ КОМПАНИЯ</t>
  </si>
  <si>
    <t>отствует</t>
  </si>
  <si>
    <t>https://etbemp.kz/ru/Protocol/Get/29632?status=1</t>
  </si>
  <si>
    <t xml:space="preserve">	Юридическая фирма «Сандерс»</t>
  </si>
  <si>
    <t>Дополнение заявок</t>
  </si>
  <si>
    <t>250140009542</t>
  </si>
  <si>
    <t>ТОВАРИЩЕСТВО С ОГРАНИЧЕННОЙ ОТВЕТСТВЕННОСТЬЮ ОПЕРАТОР ЕДИНОЙ СИСТЕМЫ УЧЕТА</t>
  </si>
  <si>
    <t>ТОО "Security Check"</t>
  </si>
  <si>
    <t>210840017541</t>
  </si>
  <si>
    <t>КОММУНАЛЬНОЕ ГОСУДАРСТВЕННОЕ УЧРЕЖДЕНИЕ СИТУАЦИОННЫЙ ЦЕНТР КОСТАНАЙСКОГО РАЙОНА ГОСУДАРСТВЕННОГО УЧРЕЖДЕНИЯ АППАРАТ АКИМА КОСТАНАЙСКОГО РАЙОНА</t>
  </si>
  <si>
    <t>И. П. Агимбеков, Нурлыжан Даулетцанович</t>
  </si>
  <si>
    <t>910140000121</t>
  </si>
  <si>
    <t>ГОСУДАРСТВЕННОЕ УЧРЕЖДЕНИЕ ДЕПАРТАМЕНТ ПОЛИЦИИ СЕВЕРО-КАЗАХСТАНСКОЙ ОБЛАСТИ МИНИСТЕРСТВА ВНУТРЕННИХ ДЕЛ РЕСПУБЛИКИ КАЗАХСТАН</t>
  </si>
  <si>
    <t>Прием заявок</t>
  </si>
  <si>
    <t>Поле11</t>
  </si>
  <si>
    <t>Количество по полю Поле11</t>
  </si>
  <si>
    <t>Проект нерентабельный</t>
  </si>
  <si>
    <t>Общий итог</t>
  </si>
  <si>
    <t>20.02.2026</t>
  </si>
  <si>
    <t>02.02.2026</t>
  </si>
  <si>
    <t>15.02.2026</t>
  </si>
  <si>
    <t>01.12.2025</t>
  </si>
  <si>
    <t>"ФОНД РАЗВИТИЯ ПРОМЫШЛЕННОСТИ"</t>
  </si>
  <si>
    <t>15.01.2026</t>
  </si>
  <si>
    <t>01.01.2026</t>
  </si>
  <si>
    <t>"ФОНД РАЗВИТИЯ ПРЕДПРИНИМАТЕЛЬСТВА "ДАМУ"</t>
  </si>
  <si>
    <t>29.01.2026</t>
  </si>
  <si>
    <t>21.01.2026</t>
  </si>
  <si>
    <t>03.01.2026</t>
  </si>
  <si>
    <t>Наименование</t>
  </si>
  <si>
    <t>KazDream</t>
  </si>
  <si>
    <t>SAPA Software</t>
  </si>
  <si>
    <t>ISV Central Asia</t>
  </si>
  <si>
    <t>Nur IT Service</t>
  </si>
  <si>
    <t>Seven Hills of Kazakhstan</t>
  </si>
  <si>
    <t>Digital Qalqan</t>
  </si>
  <si>
    <t>Communications Kazakhstan</t>
  </si>
  <si>
    <t>Tengri Lab</t>
  </si>
  <si>
    <t>QAZSOC</t>
  </si>
  <si>
    <t>ICORE Integration</t>
  </si>
  <si>
    <t>КАЗТЕЛЕПОРТ</t>
  </si>
  <si>
    <t>MSSP GL</t>
  </si>
  <si>
    <t>KAZOPTICLINK</t>
  </si>
  <si>
    <t>WebTotem</t>
  </si>
  <si>
    <t>Центр анализа и расследования кибер атак</t>
  </si>
  <si>
    <t>ASTEL</t>
  </si>
  <si>
    <t>RUMA POWER</t>
  </si>
  <si>
    <t>BESupply</t>
  </si>
  <si>
    <t>Inova Tech</t>
  </si>
  <si>
    <t>CyberOne</t>
  </si>
  <si>
    <t>SMARTAPPS</t>
  </si>
  <si>
    <t>TSGS</t>
  </si>
  <si>
    <t>HTEL</t>
  </si>
  <si>
    <t>ТОО "ОБЛАЧНЫЕ РЕШЕНИЯ"</t>
  </si>
  <si>
    <t>DATALINE24</t>
  </si>
  <si>
    <t>BTS DIGITAL</t>
  </si>
  <si>
    <t>AK KAMAL SECURITY</t>
  </si>
  <si>
    <t>АО Логиком</t>
  </si>
  <si>
    <t>ТОО "ПАЦИФИКА"</t>
  </si>
  <si>
    <t>ТОО "ALEXIS COMPANY"</t>
  </si>
  <si>
    <t>ТОО "BREM GROUP"</t>
  </si>
  <si>
    <t>ТОО "INFOMAX"</t>
  </si>
  <si>
    <t>QazCloud</t>
  </si>
  <si>
    <t>VKCloud</t>
  </si>
  <si>
    <t>YandexCloud</t>
  </si>
  <si>
    <t>PSCloud</t>
  </si>
  <si>
    <t>Кол-во тендеров</t>
  </si>
  <si>
    <t>Выделенная сумма</t>
  </si>
  <si>
    <t>Сумма победителя</t>
  </si>
  <si>
    <t>Поставщик</t>
  </si>
  <si>
    <t>Не состоялись</t>
  </si>
  <si>
    <t>Сумма выйгрыша</t>
  </si>
  <si>
    <t>% понижения</t>
  </si>
  <si>
    <t>ТОО "QazCloud (КазКлауд)"</t>
  </si>
  <si>
    <t>Казтелепорт</t>
  </si>
  <si>
    <t>Тендерная площадка</t>
  </si>
  <si>
    <t>EurasianTech</t>
  </si>
  <si>
    <t>ЭТП «Национальный Банк»</t>
  </si>
  <si>
    <t>Итого</t>
  </si>
  <si>
    <t>Ключевое слово</t>
  </si>
  <si>
    <t>Обозначение</t>
  </si>
  <si>
    <t>Предоставление ИТ-инфраструктуры</t>
  </si>
  <si>
    <t xml:space="preserve">Инфраструктура как услуга </t>
  </si>
  <si>
    <t>Облачные вычисления</t>
  </si>
  <si>
    <t>Облачные услуги</t>
  </si>
  <si>
    <t xml:space="preserve">Предоставление вычислительных ресурсов в ЦОД </t>
  </si>
  <si>
    <t>Дата центр</t>
  </si>
  <si>
    <t>ЦОД</t>
  </si>
  <si>
    <t>Центр обработки данных</t>
  </si>
  <si>
    <t>Мониторинг событий</t>
  </si>
  <si>
    <t>Системы ИБ</t>
  </si>
  <si>
    <t>Гермозона</t>
  </si>
  <si>
    <t>Атака</t>
  </si>
  <si>
    <t xml:space="preserve">Сервервное оборудование </t>
  </si>
  <si>
    <t>Резервное копирование</t>
  </si>
  <si>
    <t>Бэкап</t>
  </si>
  <si>
    <t>VDS</t>
  </si>
  <si>
    <t>VPS</t>
  </si>
  <si>
    <t>VDC</t>
  </si>
  <si>
    <t>IaaS</t>
  </si>
  <si>
    <t>СХД</t>
  </si>
  <si>
    <t>Хранение данных</t>
  </si>
  <si>
    <t>DC</t>
  </si>
  <si>
    <t>BaaS</t>
  </si>
  <si>
    <t>DRaaS</t>
  </si>
  <si>
    <t>Backup</t>
  </si>
  <si>
    <t>ОЦИБ</t>
  </si>
  <si>
    <t>Информационная безопасность</t>
  </si>
  <si>
    <t>SOC</t>
  </si>
  <si>
    <t>SIEM-система</t>
  </si>
  <si>
    <t>DLP-система</t>
  </si>
  <si>
    <t>IoC</t>
  </si>
  <si>
    <t>Облачная безопасность</t>
  </si>
  <si>
    <t>Облачная SIEM / SOC / DLP</t>
  </si>
  <si>
    <t>оказание услуг по хранению и обработке данных в облаке</t>
  </si>
  <si>
    <t>Cloud services</t>
  </si>
  <si>
    <t>Услуги по размещению и сопровождению ИС в облачной среде</t>
  </si>
  <si>
    <t>VMware</t>
  </si>
  <si>
    <t>Программно-аппаратный комплекс</t>
  </si>
  <si>
    <t>SAP</t>
  </si>
  <si>
    <t>ERP</t>
  </si>
  <si>
    <t>HANA</t>
  </si>
  <si>
    <t>1C (облако)</t>
  </si>
  <si>
    <t>Видеокамеры</t>
  </si>
  <si>
    <t>Аудит</t>
  </si>
  <si>
    <t>Тестирование</t>
  </si>
  <si>
    <t>Мониторинг</t>
  </si>
  <si>
    <t>Пентест</t>
  </si>
  <si>
    <t>НКЦИБ</t>
  </si>
  <si>
    <t>Критичность</t>
  </si>
  <si>
    <t>Уязвимость</t>
  </si>
  <si>
    <t>Инцидент</t>
  </si>
  <si>
    <t>Угроза</t>
  </si>
  <si>
    <t>SIEM</t>
  </si>
  <si>
    <t>Threat Intelligence (TI)</t>
  </si>
  <si>
    <t>Экспертиза</t>
  </si>
  <si>
    <t>Диапазон</t>
  </si>
  <si>
    <t>IP адрес</t>
  </si>
  <si>
    <t>СЗИ</t>
  </si>
  <si>
    <t>Событие</t>
  </si>
  <si>
    <t>Сопровождение</t>
  </si>
  <si>
    <t>Защищенность</t>
  </si>
  <si>
    <t>Форензика</t>
  </si>
  <si>
    <t>Вредоносный код</t>
  </si>
  <si>
    <t>Расследование</t>
  </si>
  <si>
    <t>Анализ</t>
  </si>
  <si>
    <t>Начало</t>
  </si>
  <si>
    <t>Цена за единицу</t>
  </si>
  <si>
    <t>Способ проведения</t>
  </si>
  <si>
    <t>Завершение</t>
  </si>
  <si>
    <t>Место поставки</t>
  </si>
  <si>
    <t>22.01.2026 09:00</t>
  </si>
  <si>
    <t>КОММУНАЛЬНОЕ ГОСУДАРСТВЕННОЕ УЧРЕЖДЕНИЕ УПРАВЛЕНИЕ ЦИФРОВИЗАЦИИ ГОРОДА АЛМАТЫ</t>
  </si>
  <si>
    <t>Государственные закупки с применением особого порядка</t>
  </si>
  <si>
    <t>Государственные закупки</t>
  </si>
  <si>
    <t>22.01.2026 19:00</t>
  </si>
  <si>
    <t>751410000, г.Алматы, Бостандыкский район Площадь Республики, 4</t>
  </si>
  <si>
    <t>26.03.2025 09:00</t>
  </si>
  <si>
    <t>КОММУНАЛЬНОЕ ГОСУДАРСТВЕННОЕ УЧРЕЖДЕНИЕ УПРАВЛЕНИЕ ГОСУДАРСТВЕННЫХ АКТИВОВ ГОРОДА АЛМАТЫ</t>
  </si>
  <si>
    <t>Услуги по информационно-техническому обеспечению государственных органов Услуги по информационно-техническому обеспечению государственных органов и обеспечение их функционирования</t>
  </si>
  <si>
    <t>Открытый конкурс</t>
  </si>
  <si>
    <t>02.04.2025 09:30</t>
  </si>
  <si>
    <t xml:space="preserve">г.Алматы, Бостандыкский район </t>
  </si>
  <si>
    <t>26.08.2025 09:00</t>
  </si>
  <si>
    <t>03.09.2025 09:30</t>
  </si>
  <si>
    <t xml:space="preserve">751410000, г.Алматы, Бостандыкский район </t>
  </si>
  <si>
    <t>25.05.2026 09:00</t>
  </si>
  <si>
    <t>Система хранения данных</t>
  </si>
  <si>
    <t>Тендер</t>
  </si>
  <si>
    <t>05.06.2026 11:00</t>
  </si>
  <si>
    <t>г.Алматы, Бостандыкский район</t>
  </si>
  <si>
    <t>22.11.2024 16:50</t>
  </si>
  <si>
    <t>КАЗАХСТАН, г.Алматы</t>
  </si>
  <si>
    <t>03.05.2024 16:36</t>
  </si>
  <si>
    <t>14.05.2024 16:40</t>
  </si>
  <si>
    <t>г.Алматы, Бостандыкский район пр.Абая 90</t>
  </si>
  <si>
    <t>19.11.2025 09:00</t>
  </si>
  <si>
    <t>Программное обеспечение</t>
  </si>
  <si>
    <t>01.12.2025 09:00</t>
  </si>
  <si>
    <t>г.Алматы, Алмалинский район,</t>
  </si>
  <si>
    <t>28.05.2026 09:00</t>
  </si>
  <si>
    <t>08.06.2026 11:00</t>
  </si>
  <si>
    <t>28.05.2026 09:12</t>
  </si>
  <si>
    <t>ДОЧЕРНЯЯ ОРГАНИЗАЦИЯ АКЦИОНЕРНОЕ ОБЩЕСТВО БАНК ВТБ (КАЗАХСТАН)</t>
  </si>
  <si>
    <t>Запрос котировок на право заключения договора на поставку систем хранения данных</t>
  </si>
  <si>
    <t>ETS тендер</t>
  </si>
  <si>
    <t>31.05.2026 16:00</t>
  </si>
  <si>
    <t>Казахстан, Алматы, Тимирязева 26/29  </t>
  </si>
  <si>
    <t>04.01.2024 10:00</t>
  </si>
  <si>
    <t>Услуги по обработке информации Услуги по обработке информации/данных/материалов и аналогичное</t>
  </si>
  <si>
    <t>Из одного источника по несостоявшимся закупкам</t>
  </si>
  <si>
    <t>11.01.2024 10:00</t>
  </si>
  <si>
    <t>751110000, г.Алматы, Алмалинский район г.Алматы, Алмалинский район, ул. Байзакова, 221</t>
  </si>
  <si>
    <t>22.06.2026 09:00</t>
  </si>
  <si>
    <t>Опубликован</t>
  </si>
  <si>
    <t>02.07.2026 09:00</t>
  </si>
  <si>
    <t>г.Алматы, Алмалинский район</t>
  </si>
  <si>
    <t>11.12.2025 18:30</t>
  </si>
  <si>
    <t>АКЦИОНЕРНОЕ ОБЩЕСТВО НАЦИОНАЛЬНЫЙ ИНВЕСТИЦИОННЫЙ ХОЛДИНГ БАЙТЕРЕК</t>
  </si>
  <si>
    <t>Открытый тендер</t>
  </si>
  <si>
    <t>22.12.2025 09:00</t>
  </si>
  <si>
    <t xml:space="preserve">г.Алматы, ул.Гоголя, 111 </t>
  </si>
  <si>
    <t>10.01.2025 15:24</t>
  </si>
  <si>
    <t>ТОВАРИЩЕСТВО С ОГРАНИЧЕННОЙ ОТВЕТСТВЕННОСТЬЮ АЛМАТЫЭНЕРГОСБЫТ</t>
  </si>
  <si>
    <t>Услуги по управлению IT-инфраструктурой</t>
  </si>
  <si>
    <t>01.04.2025 09:00</t>
  </si>
  <si>
    <t>11.04.2025 09:00</t>
  </si>
  <si>
    <t>14.05.2025 09:00</t>
  </si>
  <si>
    <t>Прямое заключение договора</t>
  </si>
  <si>
    <t>14.05.2025 12:28</t>
  </si>
  <si>
    <t>19.05.2026 09:00</t>
  </si>
  <si>
    <t>29.05.2026 11:00</t>
  </si>
  <si>
    <t>26.01.2026 10:30</t>
  </si>
  <si>
    <t>Открытый тендер на понижение</t>
  </si>
  <si>
    <t>06.02.2026 10:30</t>
  </si>
  <si>
    <t>18.03.2026 12:34</t>
  </si>
  <si>
    <t>АКЦИОНЕРНОЕ ОБЩЕСТВО СТРАХОВАЯ КОМПАНИЯ КАЗАХМЫС</t>
  </si>
  <si>
    <t>Сервер - 3 шт.</t>
  </si>
  <si>
    <t>01.04.2026 15:00</t>
  </si>
  <si>
    <t>A25D5T3, г. Алматы, проспект Аль-Фараби, зд. 98  </t>
  </si>
  <si>
    <t>01.08.2024 17:14</t>
  </si>
  <si>
    <t>11.11.2025 14:00</t>
  </si>
  <si>
    <t>12.11.2025 09:48</t>
  </si>
  <si>
    <t>18.03.2026 12:40</t>
  </si>
  <si>
    <t>СХД (Система хранения данных) - 1шт</t>
  </si>
  <si>
    <t>23.06.2026 09:00</t>
  </si>
  <si>
    <t>03.07.2026 11:00</t>
  </si>
  <si>
    <t>25.04.2025 14:40</t>
  </si>
  <si>
    <t>Услуги по пользованию программными продуктами</t>
  </si>
  <si>
    <t>Запрос ценовых предложений</t>
  </si>
  <si>
    <t>06.05.2025 10:00</t>
  </si>
  <si>
    <t>26.06.2025 10:00</t>
  </si>
  <si>
    <t>08.07.2025 10:00</t>
  </si>
  <si>
    <t>08.02.2022 12:42</t>
  </si>
  <si>
    <t>23.02.2022 14:00</t>
  </si>
  <si>
    <t xml:space="preserve">г.Алматы, Алмалинский район ул.Богенбай батыра, 221 </t>
  </si>
  <si>
    <t>10.03.2026 10:00</t>
  </si>
  <si>
    <t>20.03.2026 10:00</t>
  </si>
  <si>
    <t>03.06.2026 09:00</t>
  </si>
  <si>
    <t>15.06.2026 11:00</t>
  </si>
  <si>
    <t>29.06.2026 11:00</t>
  </si>
  <si>
    <t>17.06.2026 09:00</t>
  </si>
  <si>
    <t>24.06.2026 11:00</t>
  </si>
  <si>
    <t>26.05.2026 09:00</t>
  </si>
  <si>
    <t>13.02.2024 09:00</t>
  </si>
  <si>
    <t>КОММУНАЛЬНОЕ ГОСУДАРСТВЕННОЕ УЧРЕЖДЕНИЕ УПРАВЛЕНИЕ ПО ДЕЛАМ РЕЛИГИЙ ГОРОДА АЛМАТЫ</t>
  </si>
  <si>
    <t>Услуги по предоставлению вычислительных мощностей для физического размещения информации на сервере с применением технологии виртуализации (хостинг) без доступа к сети Интернет Услуги по предоставлению вычислительных мощностей для физического размещен...</t>
  </si>
  <si>
    <t>28.02.2024 10:00</t>
  </si>
  <si>
    <t>751410000, г.Алматы, Бостандыкский район</t>
  </si>
  <si>
    <t>19.03.2025 09:00</t>
  </si>
  <si>
    <t>31.03.2025 09:00</t>
  </si>
  <si>
    <t>29.04.2025 09:00</t>
  </si>
  <si>
    <t>29.04.2025 14:11</t>
  </si>
  <si>
    <t>24.04.2025 17:30</t>
  </si>
  <si>
    <t>05.05.2025 10:00</t>
  </si>
  <si>
    <t>09.08.2023 13:48</t>
  </si>
  <si>
    <t>Услуги по аренде стоико-мест Услуги по аренде стоико-мест</t>
  </si>
  <si>
    <t>16.08.2023 13:48</t>
  </si>
  <si>
    <t>751410000, г.Алматы, Бостандыкский район Ауезова, 82</t>
  </si>
  <si>
    <t>21.08.2023 09:00</t>
  </si>
  <si>
    <t>Услуги облачного сервиса Услуги облачного сервиса</t>
  </si>
  <si>
    <t>06.09.2023 09:00</t>
  </si>
  <si>
    <t>751410000, г.Алматы, Бостандыкский район Сатпаева 22</t>
  </si>
  <si>
    <t>18.01.2024 09:00</t>
  </si>
  <si>
    <t>02.02.2024 09:30</t>
  </si>
  <si>
    <t>г.Алматы, Алмалинский район Богенбай Батыра 221</t>
  </si>
  <si>
    <t>22.05.2023 09:00</t>
  </si>
  <si>
    <t>06.06.2023 09:00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</si>
</sst>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_(* \(#,##0.00\);_(* &quot;-&quot;??_);_(@_)"/>
    <numFmt numFmtId="164" formatCode="[$-409]mmmm\ d\,\ yyyy;@"/>
    <numFmt numFmtId="165" formatCode="_(* #,##0_);_(* \(#,##0\);_(* &quot;-&quot;??_);_(@_)"/>
    <numFmt numFmtId="166" formatCode="dd\.mm\.yyyy\ hh:mm"/>
    <numFmt numFmtId="167" formatCode="0.0%"/>
    <numFmt numFmtId="168" formatCode="yyyy\-mm\-dd;@"/>
  </numFmts>
  <fonts count="32">
    <font>
      <sz val="11"/>
      <color theme="1"/>
      <name val="Aptos Narrow"/>
      <family val="2"/>
      <scheme val="minor"/>
    </font>
    <font>
      <u/>
      <sz val="11"/>
      <color theme="10"/>
      <name val="Aptos Narrow"/>
      <family val="2"/>
      <scheme val="minor"/>
    </font>
    <font>
      <b/>
      <sz val="14"/>
      <color theme="1"/>
      <name val="Aptos Narrow"/>
      <family val="2"/>
      <scheme val="minor"/>
    </font>
    <font>
      <sz val="14"/>
      <color theme="1"/>
      <name val="Aptos Narrow"/>
      <family val="2"/>
      <scheme val="minor"/>
    </font>
    <font>
      <u/>
      <sz val="14"/>
      <color theme="10"/>
      <name val="Aptos Narrow"/>
      <family val="2"/>
      <scheme val="minor"/>
    </font>
    <font>
      <sz val="14"/>
      <name val="Calibri"/>
      <charset val="1"/>
    </font>
    <font>
      <sz val="11"/>
      <color rgb="FF000000"/>
      <name val="Aptos Narrow"/>
      <family val="2"/>
    </font>
    <font>
      <sz val="11"/>
      <color rgb="FF242424"/>
      <name val="Aptos Narrow"/>
      <charset val="1"/>
    </font>
    <font>
      <b/>
      <sz val="11"/>
      <color rgb="FF000000"/>
      <name val="Aptos Narrow"/>
      <family val="2"/>
    </font>
    <font>
      <sz val="11"/>
      <name val="Calibri"/>
      <charset val="1"/>
    </font>
    <font>
      <sz val="11"/>
      <color rgb="FF000000"/>
      <name val="Aptos Narrow"/>
    </font>
    <font>
      <b/>
      <sz val="11"/>
      <color rgb="FF000000"/>
      <name val="Aptos Narrow"/>
    </font>
    <font>
      <b/>
      <sz val="11"/>
      <color theme="1"/>
      <name val="Aptos Narrow"/>
      <family val="2"/>
      <scheme val="minor"/>
    </font>
    <font>
      <sz val="11"/>
      <color theme="1"/>
      <name val="Calibri"/>
      <charset val="134"/>
    </font>
    <font>
      <b/>
      <sz val="11"/>
      <color theme="1"/>
      <name val="Calibri"/>
      <charset val="204"/>
      <scheme val="minor"/>
    </font>
    <font>
      <sz val="11"/>
      <color theme="1"/>
      <name val="Calibri"/>
    </font>
    <font>
      <sz val="11"/>
      <color theme="1"/>
      <name val="Times New Roman"/>
    </font>
    <font>
      <b/>
      <sz val="11"/>
      <color rgb="FF000000"/>
      <name val="Times New Roman"/>
      <family val="1"/>
      <charset val="204"/>
    </font>
    <font>
      <sz val="11"/>
      <color theme="1"/>
      <name val="Aptos Narrow"/>
      <family val="2"/>
    </font>
    <font>
      <sz val="10"/>
      <color rgb="FF000000"/>
      <name val="Times New Roman"/>
      <charset val="1"/>
    </font>
    <font>
      <sz val="11"/>
      <color rgb="FF474747"/>
      <name val="Arial"/>
      <family val="2"/>
      <charset val="1"/>
    </font>
    <font>
      <u/>
      <sz val="11"/>
      <color theme="1"/>
      <name val="Aptos Narrow"/>
      <family val="2"/>
      <scheme val="minor"/>
    </font>
    <font>
      <sz val="11"/>
      <color theme="1"/>
      <name val="Aptos Narrow"/>
    </font>
    <font>
      <sz val="11"/>
      <color theme="1"/>
      <name val="Calibri"/>
      <charset val="1"/>
    </font>
    <font>
      <b/>
      <sz val="11"/>
      <color theme="1"/>
      <name val="Aptos Narrow"/>
      <family val="2"/>
    </font>
    <font>
      <sz val="11"/>
      <color rgb="FF000000"/>
      <name val="Calibri"/>
    </font>
    <font>
      <b/>
      <sz val="11"/>
      <color rgb="FF000000"/>
      <name val="Calibri"/>
    </font>
    <font>
      <sz val="11"/>
      <color rgb="FF000000"/>
      <name val="Aptos Narrow"/>
      <scheme val="minor"/>
    </font>
    <font>
      <b/>
      <sz val="11"/>
      <color rgb="FF000000"/>
      <name val="Aptos Narrow"/>
      <scheme val="minor"/>
    </font>
    <font>
      <b/>
      <sz val="11"/>
      <color theme="1"/>
      <name val="Aptos Narrow"/>
    </font>
    <font>
      <sz val="11"/>
      <color theme="1"/>
      <name val="Aptos Narrow"/>
      <charset val="1"/>
    </font>
    <font>
      <sz val="10"/>
      <color theme="1"/>
      <name val="Times New Roman"/>
      <charset val="1"/>
    </font>
  </fonts>
  <fills count="24">
    <fill>
      <patternFill patternType="none"/>
    </fill>
    <fill>
      <patternFill patternType="gray125"/>
    </fill>
    <fill>
      <patternFill patternType="solid">
        <fgColor rgb="FFFF0000"/>
        <bgColor indexed="64"/>
      </patternFill>
    </fill>
    <fill>
      <patternFill patternType="solid">
        <fgColor rgb="FFFFFF00"/>
        <bgColor indexed="64"/>
      </patternFill>
    </fill>
    <fill>
      <patternFill patternType="solid">
        <fgColor theme="9"/>
        <bgColor indexed="64"/>
      </patternFill>
    </fill>
    <fill>
      <patternFill patternType="solid">
        <fgColor rgb="FF92D050"/>
        <bgColor indexed="64"/>
      </patternFill>
    </fill>
    <fill>
      <patternFill patternType="solid">
        <fgColor theme="2"/>
        <bgColor indexed="64"/>
      </patternFill>
    </fill>
    <fill>
      <patternFill patternType="solid">
        <fgColor rgb="FFD0CECE"/>
        <bgColor indexed="64"/>
      </patternFill>
    </fill>
    <fill>
      <patternFill patternType="solid">
        <fgColor rgb="FFA9D08E"/>
        <bgColor indexed="64"/>
      </patternFill>
    </fill>
    <fill>
      <patternFill patternType="solid">
        <fgColor rgb="FFACB9CA"/>
        <bgColor indexed="64"/>
      </patternFill>
    </fill>
    <fill>
      <patternFill patternType="solid">
        <fgColor rgb="FFF8CBAD"/>
        <bgColor indexed="64"/>
      </patternFill>
    </fill>
    <fill>
      <patternFill patternType="solid">
        <fgColor rgb="FFFFE699"/>
        <bgColor indexed="64"/>
      </patternFill>
    </fill>
    <fill>
      <patternFill patternType="solid">
        <fgColor rgb="FFBDD7EE"/>
        <bgColor indexed="64"/>
      </patternFill>
    </fill>
    <fill>
      <patternFill patternType="solid">
        <fgColor rgb="FFFFC000"/>
        <bgColor indexed="64"/>
      </patternFill>
    </fill>
    <fill>
      <patternFill patternType="solid">
        <fgColor theme="0"/>
        <bgColor indexed="64"/>
      </patternFill>
    </fill>
    <fill>
      <patternFill patternType="solid">
        <fgColor theme="3" tint="0.749992370372631"/>
        <bgColor indexed="64"/>
      </patternFill>
    </fill>
    <fill>
      <patternFill patternType="solid">
        <fgColor theme="2" tint="-9.9978637043366805E-2"/>
        <bgColor indexed="64"/>
      </patternFill>
    </fill>
    <fill>
      <patternFill patternType="solid">
        <fgColor rgb="FFC9C9C9"/>
        <bgColor rgb="FF000000"/>
      </patternFill>
    </fill>
    <fill>
      <patternFill patternType="solid">
        <fgColor rgb="FFC00000"/>
        <bgColor indexed="64"/>
      </patternFill>
    </fill>
    <fill>
      <patternFill patternType="solid">
        <fgColor theme="5" tint="0.59999389629810485"/>
        <bgColor indexed="64"/>
      </patternFill>
    </fill>
    <fill>
      <patternFill patternType="solid">
        <fgColor theme="9" tint="-0.249977111117893"/>
        <bgColor indexed="64"/>
      </patternFill>
    </fill>
    <fill>
      <patternFill patternType="solid">
        <fgColor rgb="FFF7F7AB"/>
        <bgColor indexed="64"/>
      </patternFill>
    </fill>
    <fill>
      <patternFill patternType="solid">
        <fgColor rgb="FFFFBABA"/>
        <bgColor indexed="64"/>
      </patternFill>
    </fill>
    <fill>
      <patternFill patternType="solid">
        <fgColor theme="9" tint="0.79998168889431442"/>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style="thin">
        <color rgb="FF000000"/>
      </left>
      <right style="thin">
        <color rgb="FF000000"/>
      </right>
      <top/>
      <bottom/>
      <diagonal/>
    </border>
    <border>
      <left/>
      <right style="thin">
        <color rgb="FF000000"/>
      </right>
      <top style="thin">
        <color rgb="FF000000"/>
      </top>
      <bottom/>
      <diagonal/>
    </border>
    <border>
      <left style="thin">
        <color rgb="FF000000"/>
      </left>
      <right/>
      <top/>
      <bottom/>
      <diagonal/>
    </border>
  </borders>
  <cellStyleXfs count="2">
    <xf numFmtId="0" fontId="0" fillId="0" borderId="0"/>
    <xf numFmtId="0" fontId="1" fillId="0" borderId="0" applyNumberFormat="0" applyFill="0" applyBorder="0" applyAlignment="0" applyProtection="0"/>
  </cellStyleXfs>
  <cellXfs count="243">
    <xf numFmtId="0" fontId="0" fillId="0" borderId="0" xfId="0"/>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3" fillId="0" borderId="1" xfId="0" applyFont="1" applyBorder="1"/>
    <xf numFmtId="49" fontId="3" fillId="0" borderId="1" xfId="0" applyNumberFormat="1" applyFont="1" applyBorder="1"/>
    <xf numFmtId="165" fontId="3" fillId="0" borderId="1" xfId="0" applyNumberFormat="1" applyFont="1" applyBorder="1"/>
    <xf numFmtId="3" fontId="3" fillId="0" borderId="1" xfId="0" applyNumberFormat="1" applyFont="1" applyBorder="1"/>
    <xf numFmtId="165" fontId="5" fillId="0" borderId="1" xfId="0" applyNumberFormat="1" applyFont="1" applyBorder="1"/>
    <xf numFmtId="4" fontId="3" fillId="0" borderId="1" xfId="0" applyNumberFormat="1" applyFont="1" applyBorder="1"/>
    <xf numFmtId="0" fontId="0" fillId="0" borderId="0" xfId="0" pivotButton="1"/>
    <xf numFmtId="0" fontId="4" fillId="0" borderId="1" xfId="1" applyFont="1" applyBorder="1"/>
    <xf numFmtId="49" fontId="3" fillId="0" borderId="1" xfId="0" applyNumberFormat="1" applyFont="1" applyBorder="1" applyAlignment="1">
      <alignment wrapText="1"/>
    </xf>
    <xf numFmtId="0" fontId="6" fillId="3" borderId="1" xfId="0" applyFont="1" applyFill="1" applyBorder="1" applyAlignment="1">
      <alignment vertical="center" wrapText="1"/>
    </xf>
    <xf numFmtId="0" fontId="7" fillId="3" borderId="1" xfId="0" applyFont="1" applyFill="1" applyBorder="1" applyAlignment="1">
      <alignment wrapText="1"/>
    </xf>
    <xf numFmtId="0" fontId="0" fillId="0" borderId="0" xfId="0" applyAlignment="1">
      <alignment vertical="center"/>
    </xf>
    <xf numFmtId="0" fontId="0" fillId="0" borderId="1" xfId="0" applyBorder="1" applyAlignment="1">
      <alignment vertical="center"/>
    </xf>
    <xf numFmtId="0" fontId="14" fillId="6" borderId="2" xfId="0" applyFont="1" applyFill="1" applyBorder="1" applyAlignment="1">
      <alignment horizontal="center" vertical="center" wrapText="1"/>
    </xf>
    <xf numFmtId="0" fontId="0" fillId="0" borderId="1" xfId="0" applyBorder="1"/>
    <xf numFmtId="0" fontId="0" fillId="0" borderId="1" xfId="0" applyBorder="1" applyAlignment="1">
      <alignment wrapText="1"/>
    </xf>
    <xf numFmtId="0" fontId="0" fillId="2" borderId="3" xfId="0" applyFill="1" applyBorder="1"/>
    <xf numFmtId="0" fontId="0" fillId="7" borderId="3" xfId="0" applyFill="1" applyBorder="1"/>
    <xf numFmtId="0" fontId="0" fillId="8" borderId="3" xfId="0" applyFill="1" applyBorder="1"/>
    <xf numFmtId="0" fontId="0" fillId="9" borderId="3" xfId="0" applyFill="1" applyBorder="1"/>
    <xf numFmtId="0" fontId="0" fillId="10" borderId="3" xfId="0" applyFill="1" applyBorder="1"/>
    <xf numFmtId="0" fontId="0" fillId="11" borderId="3" xfId="0" applyFill="1" applyBorder="1"/>
    <xf numFmtId="0" fontId="0" fillId="12" borderId="3" xfId="0" applyFill="1" applyBorder="1"/>
    <xf numFmtId="0" fontId="0" fillId="13" borderId="3" xfId="0" applyFill="1" applyBorder="1"/>
    <xf numFmtId="0" fontId="0" fillId="3" borderId="3" xfId="0" applyFill="1" applyBorder="1"/>
    <xf numFmtId="0" fontId="0" fillId="5" borderId="3" xfId="0" applyFill="1" applyBorder="1"/>
    <xf numFmtId="0" fontId="0" fillId="0" borderId="3" xfId="0" applyBorder="1"/>
    <xf numFmtId="0" fontId="14" fillId="6" borderId="4" xfId="0" applyFont="1" applyFill="1" applyBorder="1" applyAlignment="1">
      <alignment horizontal="center" vertical="center" wrapText="1"/>
    </xf>
    <xf numFmtId="0" fontId="0" fillId="0" borderId="6" xfId="0" applyBorder="1" applyAlignment="1">
      <alignment vertical="center"/>
    </xf>
    <xf numFmtId="0" fontId="0" fillId="14" borderId="1" xfId="0" applyFill="1" applyBorder="1" applyAlignment="1">
      <alignment vertical="center"/>
    </xf>
    <xf numFmtId="0" fontId="0" fillId="14" borderId="1" xfId="0" applyFill="1" applyBorder="1"/>
    <xf numFmtId="4" fontId="0" fillId="14" borderId="1" xfId="0" applyNumberFormat="1" applyFill="1" applyBorder="1"/>
    <xf numFmtId="4" fontId="0" fillId="14" borderId="1" xfId="0" applyNumberFormat="1" applyFill="1" applyBorder="1" applyAlignment="1">
      <alignment vertical="center"/>
    </xf>
    <xf numFmtId="0" fontId="0" fillId="0" borderId="7" xfId="0" applyBorder="1" applyAlignment="1">
      <alignment vertical="center"/>
    </xf>
    <xf numFmtId="0" fontId="17" fillId="17" borderId="2" xfId="0" applyFont="1" applyFill="1" applyBorder="1" applyAlignment="1">
      <alignment horizontal="center" vertical="center" wrapText="1"/>
    </xf>
    <xf numFmtId="0" fontId="17" fillId="17" borderId="3" xfId="0" applyFont="1" applyFill="1" applyBorder="1" applyAlignment="1">
      <alignment horizontal="center" vertical="center" wrapText="1"/>
    </xf>
    <xf numFmtId="165" fontId="16" fillId="0" borderId="1" xfId="0" applyNumberFormat="1" applyFont="1" applyBorder="1"/>
    <xf numFmtId="165" fontId="16" fillId="0" borderId="1" xfId="0" applyNumberFormat="1" applyFont="1" applyBorder="1" applyAlignment="1">
      <alignment wrapText="1"/>
    </xf>
    <xf numFmtId="0" fontId="17" fillId="17" borderId="1" xfId="0" applyFont="1" applyFill="1" applyBorder="1" applyAlignment="1">
      <alignment horizontal="center" vertical="center" wrapText="1"/>
    </xf>
    <xf numFmtId="0" fontId="12" fillId="0" borderId="1" xfId="0" applyFont="1" applyBorder="1"/>
    <xf numFmtId="0" fontId="12" fillId="15" borderId="1" xfId="0" applyFont="1" applyFill="1" applyBorder="1"/>
    <xf numFmtId="166" fontId="0" fillId="0" borderId="1" xfId="0" applyNumberFormat="1" applyBorder="1"/>
    <xf numFmtId="49" fontId="0" fillId="0" borderId="1" xfId="0" applyNumberFormat="1" applyBorder="1"/>
    <xf numFmtId="49" fontId="13" fillId="0" borderId="1" xfId="0" applyNumberFormat="1" applyFont="1" applyBorder="1"/>
    <xf numFmtId="4" fontId="0" fillId="0" borderId="1" xfId="0" applyNumberFormat="1" applyBorder="1"/>
    <xf numFmtId="0" fontId="12" fillId="16" borderId="1" xfId="0" applyFont="1" applyFill="1" applyBorder="1"/>
    <xf numFmtId="0" fontId="0" fillId="0" borderId="5" xfId="0" applyBorder="1"/>
    <xf numFmtId="0" fontId="0" fillId="0" borderId="5" xfId="0" applyBorder="1" applyAlignment="1">
      <alignment wrapText="1"/>
    </xf>
    <xf numFmtId="0" fontId="0" fillId="14" borderId="1" xfId="0" applyFill="1" applyBorder="1" applyAlignment="1">
      <alignment vertical="center" wrapText="1"/>
    </xf>
    <xf numFmtId="0" fontId="12" fillId="15" borderId="0" xfId="0" applyFont="1" applyFill="1"/>
    <xf numFmtId="0" fontId="10" fillId="14" borderId="1" xfId="0" applyFont="1" applyFill="1" applyBorder="1" applyAlignment="1">
      <alignment vertical="center" wrapText="1"/>
    </xf>
    <xf numFmtId="3" fontId="0" fillId="0" borderId="1" xfId="0" applyNumberFormat="1" applyBorder="1"/>
    <xf numFmtId="3" fontId="12" fillId="0" borderId="1" xfId="0" applyNumberFormat="1" applyFont="1" applyBorder="1"/>
    <xf numFmtId="3" fontId="0" fillId="0" borderId="1" xfId="0" applyNumberFormat="1" applyBorder="1" applyAlignment="1">
      <alignment wrapText="1"/>
    </xf>
    <xf numFmtId="3" fontId="0" fillId="0" borderId="1" xfId="0" applyNumberFormat="1" applyBorder="1" applyAlignment="1">
      <alignment vertical="center"/>
    </xf>
    <xf numFmtId="3" fontId="0" fillId="0" borderId="0" xfId="0" applyNumberFormat="1" applyAlignment="1">
      <alignment vertical="center"/>
    </xf>
    <xf numFmtId="167" fontId="6" fillId="14" borderId="1" xfId="0" applyNumberFormat="1" applyFont="1" applyFill="1" applyBorder="1" applyAlignment="1">
      <alignment vertical="center" wrapText="1"/>
    </xf>
    <xf numFmtId="0" fontId="0" fillId="14" borderId="0" xfId="0" applyFill="1" applyAlignment="1">
      <alignment vertical="center"/>
    </xf>
    <xf numFmtId="0" fontId="17" fillId="17" borderId="5" xfId="0" applyFont="1" applyFill="1" applyBorder="1" applyAlignment="1">
      <alignment horizontal="center" vertical="center" wrapText="1"/>
    </xf>
    <xf numFmtId="3" fontId="6" fillId="14" borderId="1" xfId="0" applyNumberFormat="1" applyFont="1" applyFill="1" applyBorder="1" applyAlignment="1">
      <alignment vertical="center" wrapText="1"/>
    </xf>
    <xf numFmtId="9" fontId="0" fillId="14" borderId="1" xfId="0" applyNumberFormat="1" applyFill="1" applyBorder="1"/>
    <xf numFmtId="165" fontId="16" fillId="14" borderId="1" xfId="0" applyNumberFormat="1" applyFont="1" applyFill="1" applyBorder="1"/>
    <xf numFmtId="165" fontId="16" fillId="14" borderId="1" xfId="0" applyNumberFormat="1" applyFont="1" applyFill="1" applyBorder="1" applyAlignment="1">
      <alignment wrapText="1"/>
    </xf>
    <xf numFmtId="167" fontId="0" fillId="14" borderId="1" xfId="0" applyNumberFormat="1" applyFill="1" applyBorder="1" applyAlignment="1">
      <alignment vertical="center"/>
    </xf>
    <xf numFmtId="0" fontId="0" fillId="14" borderId="5" xfId="0" applyFill="1" applyBorder="1" applyAlignment="1">
      <alignment vertical="center" wrapText="1"/>
    </xf>
    <xf numFmtId="0" fontId="0" fillId="14" borderId="5" xfId="0" applyFill="1" applyBorder="1"/>
    <xf numFmtId="3" fontId="0" fillId="14" borderId="5" xfId="0" applyNumberFormat="1" applyFill="1" applyBorder="1"/>
    <xf numFmtId="167" fontId="0" fillId="14" borderId="5" xfId="0" applyNumberFormat="1" applyFill="1" applyBorder="1" applyAlignment="1">
      <alignment vertical="center"/>
    </xf>
    <xf numFmtId="0" fontId="6" fillId="14" borderId="5" xfId="0" applyFont="1" applyFill="1" applyBorder="1" applyAlignment="1">
      <alignment vertical="center" wrapText="1"/>
    </xf>
    <xf numFmtId="3" fontId="6" fillId="14" borderId="5" xfId="0" applyNumberFormat="1" applyFont="1" applyFill="1" applyBorder="1" applyAlignment="1">
      <alignment vertical="center" wrapText="1"/>
    </xf>
    <xf numFmtId="9" fontId="0" fillId="14" borderId="5" xfId="0" applyNumberFormat="1" applyFill="1" applyBorder="1"/>
    <xf numFmtId="167" fontId="6" fillId="14" borderId="5" xfId="0" applyNumberFormat="1" applyFont="1" applyFill="1" applyBorder="1" applyAlignment="1">
      <alignment vertical="center" wrapText="1"/>
    </xf>
    <xf numFmtId="3" fontId="0" fillId="0" borderId="5" xfId="0" applyNumberFormat="1" applyBorder="1"/>
    <xf numFmtId="3" fontId="0" fillId="14" borderId="1" xfId="0" applyNumberFormat="1" applyFill="1" applyBorder="1" applyAlignment="1">
      <alignment vertical="center"/>
    </xf>
    <xf numFmtId="3" fontId="0" fillId="14" borderId="5" xfId="0" applyNumberFormat="1" applyFill="1" applyBorder="1" applyAlignment="1">
      <alignment vertical="center"/>
    </xf>
    <xf numFmtId="10" fontId="0" fillId="0" borderId="0" xfId="0" applyNumberFormat="1"/>
    <xf numFmtId="10" fontId="0" fillId="0" borderId="1" xfId="0" applyNumberFormat="1" applyBorder="1"/>
    <xf numFmtId="0" fontId="19" fillId="0" borderId="1" xfId="0" applyFont="1" applyBorder="1" applyAlignment="1">
      <alignment wrapText="1"/>
    </xf>
    <xf numFmtId="0" fontId="19" fillId="0" borderId="1" xfId="0" applyFont="1" applyBorder="1"/>
    <xf numFmtId="0" fontId="1" fillId="0" borderId="1" xfId="1" applyBorder="1" applyAlignment="1">
      <alignment wrapText="1"/>
    </xf>
    <xf numFmtId="0" fontId="1" fillId="0" borderId="1" xfId="1" applyBorder="1"/>
    <xf numFmtId="0" fontId="20" fillId="0" borderId="1" xfId="0" applyFont="1" applyBorder="1"/>
    <xf numFmtId="49" fontId="0" fillId="0" borderId="7" xfId="0" applyNumberFormat="1" applyBorder="1"/>
    <xf numFmtId="49" fontId="0" fillId="0" borderId="7" xfId="0" applyNumberFormat="1" applyBorder="1" applyAlignment="1">
      <alignment wrapText="1"/>
    </xf>
    <xf numFmtId="0" fontId="0" fillId="14" borderId="0" xfId="0" applyFill="1" applyAlignment="1">
      <alignment vertical="center" wrapText="1"/>
    </xf>
    <xf numFmtId="165" fontId="16" fillId="14" borderId="5" xfId="0" applyNumberFormat="1" applyFont="1" applyFill="1" applyBorder="1" applyAlignment="1">
      <alignment wrapText="1"/>
    </xf>
    <xf numFmtId="3" fontId="0" fillId="14" borderId="0" xfId="0" applyNumberFormat="1" applyFill="1" applyAlignment="1">
      <alignment vertical="center"/>
    </xf>
    <xf numFmtId="0" fontId="0" fillId="3" borderId="1" xfId="0" applyFill="1" applyBorder="1" applyAlignment="1">
      <alignment vertical="center" wrapText="1"/>
    </xf>
    <xf numFmtId="0" fontId="0" fillId="3" borderId="5" xfId="0" applyFill="1" applyBorder="1" applyAlignment="1">
      <alignment vertical="center" wrapText="1"/>
    </xf>
    <xf numFmtId="0" fontId="0" fillId="3" borderId="5" xfId="0" applyFill="1" applyBorder="1"/>
    <xf numFmtId="0" fontId="6" fillId="3" borderId="5" xfId="0" applyFont="1" applyFill="1" applyBorder="1" applyAlignment="1">
      <alignment vertical="center" wrapText="1"/>
    </xf>
    <xf numFmtId="0" fontId="0" fillId="0" borderId="9" xfId="0" applyBorder="1" applyAlignment="1">
      <alignment vertical="center"/>
    </xf>
    <xf numFmtId="168" fontId="15" fillId="14" borderId="1" xfId="0" applyNumberFormat="1" applyFont="1" applyFill="1" applyBorder="1" applyAlignment="1">
      <alignment vertical="center"/>
    </xf>
    <xf numFmtId="49" fontId="0" fillId="14" borderId="1" xfId="0" applyNumberFormat="1" applyFill="1" applyBorder="1" applyAlignment="1">
      <alignment vertical="center" wrapText="1"/>
    </xf>
    <xf numFmtId="168" fontId="0" fillId="14" borderId="1" xfId="0" applyNumberFormat="1" applyFill="1" applyBorder="1" applyAlignment="1">
      <alignment vertical="center"/>
    </xf>
    <xf numFmtId="49" fontId="13" fillId="14" borderId="1" xfId="0" applyNumberFormat="1" applyFont="1" applyFill="1" applyBorder="1" applyAlignment="1">
      <alignment vertical="center"/>
    </xf>
    <xf numFmtId="49" fontId="13" fillId="14" borderId="1" xfId="0" applyNumberFormat="1" applyFont="1" applyFill="1" applyBorder="1" applyAlignment="1">
      <alignment vertical="center" wrapText="1"/>
    </xf>
    <xf numFmtId="49" fontId="15" fillId="14" borderId="1" xfId="0" applyNumberFormat="1" applyFont="1" applyFill="1" applyBorder="1" applyAlignment="1">
      <alignment vertical="center" wrapText="1"/>
    </xf>
    <xf numFmtId="0" fontId="0" fillId="0" borderId="6" xfId="0" applyBorder="1" applyAlignment="1">
      <alignment vertical="center" wrapText="1"/>
    </xf>
    <xf numFmtId="49" fontId="0" fillId="0" borderId="1" xfId="0" applyNumberFormat="1" applyBorder="1" applyAlignment="1">
      <alignment wrapText="1"/>
    </xf>
    <xf numFmtId="49" fontId="13" fillId="0" borderId="1" xfId="0" applyNumberFormat="1" applyFont="1" applyBorder="1" applyAlignment="1">
      <alignment wrapText="1"/>
    </xf>
    <xf numFmtId="0" fontId="12" fillId="15" borderId="1" xfId="0" applyFont="1" applyFill="1" applyBorder="1" applyAlignment="1">
      <alignment wrapText="1"/>
    </xf>
    <xf numFmtId="49" fontId="1" fillId="0" borderId="1" xfId="1" applyNumberFormat="1" applyBorder="1" applyAlignment="1">
      <alignment wrapText="1"/>
    </xf>
    <xf numFmtId="49" fontId="1" fillId="0" borderId="1" xfId="1" applyNumberFormat="1" applyBorder="1" applyAlignment="1">
      <alignment horizontal="center" vertical="center" wrapText="1"/>
    </xf>
    <xf numFmtId="49" fontId="13" fillId="0" borderId="1" xfId="0" applyNumberFormat="1" applyFont="1" applyBorder="1" applyAlignment="1">
      <alignment horizontal="center" vertical="center" wrapText="1"/>
    </xf>
    <xf numFmtId="0" fontId="0" fillId="0" borderId="0" xfId="0" applyAlignment="1">
      <alignment wrapText="1"/>
    </xf>
    <xf numFmtId="0" fontId="1" fillId="0" borderId="0" xfId="1" applyAlignment="1">
      <alignment wrapText="1"/>
    </xf>
    <xf numFmtId="0" fontId="1" fillId="0" borderId="0" xfId="1"/>
    <xf numFmtId="43" fontId="6" fillId="14" borderId="1" xfId="0" applyNumberFormat="1" applyFont="1" applyFill="1" applyBorder="1" applyAlignment="1">
      <alignment vertical="center" wrapText="1"/>
    </xf>
    <xf numFmtId="43" fontId="9" fillId="14" borderId="1" xfId="0" applyNumberFormat="1" applyFont="1" applyFill="1" applyBorder="1" applyAlignment="1">
      <alignment vertical="center" wrapText="1"/>
    </xf>
    <xf numFmtId="0" fontId="11" fillId="14" borderId="5" xfId="0" applyFont="1" applyFill="1" applyBorder="1" applyAlignment="1">
      <alignment vertical="center" wrapText="1"/>
    </xf>
    <xf numFmtId="168" fontId="15" fillId="14" borderId="5" xfId="0" applyNumberFormat="1" applyFont="1" applyFill="1" applyBorder="1" applyAlignment="1">
      <alignment vertical="center"/>
    </xf>
    <xf numFmtId="49" fontId="0" fillId="14" borderId="5" xfId="0" applyNumberFormat="1" applyFill="1" applyBorder="1" applyAlignment="1">
      <alignment vertical="center" wrapText="1"/>
    </xf>
    <xf numFmtId="49" fontId="15" fillId="14" borderId="5" xfId="0" applyNumberFormat="1" applyFont="1" applyFill="1" applyBorder="1" applyAlignment="1">
      <alignment vertical="center" wrapText="1"/>
    </xf>
    <xf numFmtId="0" fontId="6" fillId="14" borderId="1" xfId="0" applyFont="1" applyFill="1" applyBorder="1" applyAlignment="1">
      <alignment vertical="center" wrapText="1"/>
    </xf>
    <xf numFmtId="0" fontId="1" fillId="14" borderId="1" xfId="1" applyFill="1" applyBorder="1" applyAlignment="1">
      <alignment vertical="center" wrapText="1"/>
    </xf>
    <xf numFmtId="0" fontId="0" fillId="14" borderId="7" xfId="0" applyFill="1" applyBorder="1" applyAlignment="1">
      <alignment vertical="center" wrapText="1"/>
    </xf>
    <xf numFmtId="0" fontId="21" fillId="14" borderId="5" xfId="1" applyFont="1" applyFill="1" applyBorder="1" applyAlignment="1">
      <alignment vertical="center" wrapText="1"/>
    </xf>
    <xf numFmtId="0" fontId="21" fillId="14" borderId="1" xfId="1" applyFont="1" applyFill="1" applyBorder="1" applyAlignment="1">
      <alignment vertical="center" wrapText="1"/>
    </xf>
    <xf numFmtId="49" fontId="15" fillId="14" borderId="1" xfId="0" applyNumberFormat="1" applyFont="1" applyFill="1" applyBorder="1" applyAlignment="1">
      <alignment horizontal="center" vertical="center" wrapText="1"/>
    </xf>
    <xf numFmtId="0" fontId="8" fillId="14" borderId="5" xfId="0" applyFont="1" applyFill="1" applyBorder="1" applyAlignment="1">
      <alignment vertical="center"/>
    </xf>
    <xf numFmtId="0" fontId="8" fillId="14" borderId="5" xfId="0" applyFont="1" applyFill="1" applyBorder="1" applyAlignment="1">
      <alignment vertical="center" wrapText="1"/>
    </xf>
    <xf numFmtId="3" fontId="11" fillId="14" borderId="5" xfId="0" applyNumberFormat="1" applyFont="1" applyFill="1" applyBorder="1" applyAlignment="1">
      <alignment vertical="center" wrapText="1"/>
    </xf>
    <xf numFmtId="4" fontId="0" fillId="14" borderId="6" xfId="0" applyNumberFormat="1" applyFill="1" applyBorder="1" applyAlignment="1">
      <alignment vertical="center"/>
    </xf>
    <xf numFmtId="0" fontId="0" fillId="14" borderId="6" xfId="0" applyFill="1" applyBorder="1" applyAlignment="1">
      <alignment vertical="center" wrapText="1"/>
    </xf>
    <xf numFmtId="3" fontId="0" fillId="14" borderId="6" xfId="0" applyNumberFormat="1" applyFill="1" applyBorder="1" applyAlignment="1">
      <alignment vertical="center"/>
    </xf>
    <xf numFmtId="49" fontId="0" fillId="14" borderId="6" xfId="0" applyNumberFormat="1" applyFill="1" applyBorder="1" applyAlignment="1">
      <alignment vertical="center" wrapText="1"/>
    </xf>
    <xf numFmtId="49" fontId="12" fillId="14" borderId="1" xfId="0" applyNumberFormat="1" applyFont="1" applyFill="1" applyBorder="1" applyAlignment="1">
      <alignment vertical="center" wrapText="1"/>
    </xf>
    <xf numFmtId="168" fontId="0" fillId="14" borderId="6" xfId="0" applyNumberFormat="1" applyFill="1" applyBorder="1" applyAlignment="1">
      <alignment vertical="center"/>
    </xf>
    <xf numFmtId="43" fontId="18" fillId="14" borderId="5" xfId="0" applyNumberFormat="1" applyFont="1" applyFill="1" applyBorder="1" applyAlignment="1">
      <alignment vertical="center" wrapText="1"/>
    </xf>
    <xf numFmtId="43" fontId="23" fillId="14" borderId="1" xfId="0" applyNumberFormat="1" applyFont="1" applyFill="1" applyBorder="1" applyAlignment="1">
      <alignment vertical="center" wrapText="1"/>
    </xf>
    <xf numFmtId="43" fontId="9" fillId="14" borderId="5" xfId="0" applyNumberFormat="1" applyFont="1" applyFill="1" applyBorder="1" applyAlignment="1">
      <alignment vertical="center" wrapText="1"/>
    </xf>
    <xf numFmtId="3" fontId="19" fillId="14" borderId="1" xfId="0" applyNumberFormat="1" applyFont="1" applyFill="1" applyBorder="1" applyAlignment="1">
      <alignment vertical="center"/>
    </xf>
    <xf numFmtId="3" fontId="18" fillId="14" borderId="1" xfId="0" applyNumberFormat="1" applyFont="1" applyFill="1" applyBorder="1" applyAlignment="1">
      <alignment vertical="center" wrapText="1"/>
    </xf>
    <xf numFmtId="49" fontId="12" fillId="4" borderId="1" xfId="0" applyNumberFormat="1" applyFont="1" applyFill="1" applyBorder="1" applyAlignment="1">
      <alignment vertical="center" wrapText="1"/>
    </xf>
    <xf numFmtId="49" fontId="13" fillId="14" borderId="6" xfId="0" applyNumberFormat="1" applyFont="1" applyFill="1" applyBorder="1" applyAlignment="1">
      <alignment vertical="center" wrapText="1"/>
    </xf>
    <xf numFmtId="0" fontId="1" fillId="14" borderId="5" xfId="1" applyFill="1" applyBorder="1" applyAlignment="1">
      <alignment vertical="center" wrapText="1"/>
    </xf>
    <xf numFmtId="0" fontId="18" fillId="14" borderId="5" xfId="0" applyFont="1" applyFill="1" applyBorder="1" applyAlignment="1">
      <alignment vertical="center" wrapText="1"/>
    </xf>
    <xf numFmtId="49" fontId="13" fillId="14" borderId="6" xfId="0" applyNumberFormat="1" applyFont="1" applyFill="1" applyBorder="1" applyAlignment="1">
      <alignment vertical="center"/>
    </xf>
    <xf numFmtId="0" fontId="22" fillId="14" borderId="1" xfId="0" applyFont="1" applyFill="1" applyBorder="1" applyAlignment="1">
      <alignment vertical="center" wrapText="1"/>
    </xf>
    <xf numFmtId="49" fontId="12" fillId="2" borderId="6" xfId="0" applyNumberFormat="1" applyFont="1" applyFill="1" applyBorder="1" applyAlignment="1">
      <alignment vertical="center" wrapText="1"/>
    </xf>
    <xf numFmtId="49" fontId="12" fillId="3" borderId="1" xfId="0" applyNumberFormat="1" applyFont="1" applyFill="1" applyBorder="1" applyAlignment="1">
      <alignment vertical="center" wrapText="1"/>
    </xf>
    <xf numFmtId="0" fontId="1" fillId="14" borderId="0" xfId="1" applyFill="1" applyAlignment="1">
      <alignment vertical="center"/>
    </xf>
    <xf numFmtId="0" fontId="0" fillId="14" borderId="9" xfId="0" applyFill="1" applyBorder="1" applyAlignment="1">
      <alignment vertical="center"/>
    </xf>
    <xf numFmtId="0" fontId="0" fillId="14" borderId="9" xfId="0" applyFill="1" applyBorder="1" applyAlignment="1">
      <alignment vertical="center" wrapText="1"/>
    </xf>
    <xf numFmtId="0" fontId="0" fillId="14" borderId="6" xfId="0" applyFill="1" applyBorder="1" applyAlignment="1">
      <alignment vertical="center"/>
    </xf>
    <xf numFmtId="0" fontId="0" fillId="14" borderId="7" xfId="0" applyFill="1" applyBorder="1" applyAlignment="1">
      <alignment vertical="center"/>
    </xf>
    <xf numFmtId="0" fontId="1" fillId="14" borderId="1" xfId="1" applyFill="1" applyBorder="1" applyAlignment="1">
      <alignment vertical="center"/>
    </xf>
    <xf numFmtId="0" fontId="0" fillId="14" borderId="10" xfId="0" applyFill="1" applyBorder="1" applyAlignment="1">
      <alignment vertical="center"/>
    </xf>
    <xf numFmtId="0" fontId="0" fillId="14" borderId="5" xfId="0" applyFill="1" applyBorder="1" applyAlignment="1">
      <alignment vertical="center"/>
    </xf>
    <xf numFmtId="0" fontId="1" fillId="14" borderId="5" xfId="1" applyFill="1" applyBorder="1" applyAlignment="1">
      <alignment vertical="center"/>
    </xf>
    <xf numFmtId="0" fontId="0" fillId="14" borderId="11" xfId="0" applyFill="1" applyBorder="1" applyAlignment="1">
      <alignment vertical="center"/>
    </xf>
    <xf numFmtId="0" fontId="0" fillId="14" borderId="11" xfId="0" applyFill="1" applyBorder="1" applyAlignment="1">
      <alignment vertical="center" wrapText="1"/>
    </xf>
    <xf numFmtId="0" fontId="0" fillId="14" borderId="13" xfId="0" applyFill="1" applyBorder="1" applyAlignment="1">
      <alignment vertical="center"/>
    </xf>
    <xf numFmtId="0" fontId="0" fillId="14" borderId="12" xfId="0" applyFill="1" applyBorder="1" applyAlignment="1">
      <alignment vertical="center"/>
    </xf>
    <xf numFmtId="0" fontId="8" fillId="2" borderId="1" xfId="0" applyFont="1" applyFill="1" applyBorder="1" applyAlignment="1">
      <alignment vertical="center" wrapText="1"/>
    </xf>
    <xf numFmtId="0" fontId="0" fillId="3" borderId="1" xfId="0" applyFill="1" applyBorder="1" applyAlignment="1">
      <alignment vertical="center"/>
    </xf>
    <xf numFmtId="0" fontId="8" fillId="3" borderId="5" xfId="0" applyFont="1" applyFill="1" applyBorder="1" applyAlignment="1">
      <alignment vertical="center" wrapText="1"/>
    </xf>
    <xf numFmtId="168" fontId="15" fillId="18" borderId="1" xfId="0" applyNumberFormat="1" applyFont="1" applyFill="1" applyBorder="1" applyAlignment="1">
      <alignment vertical="center"/>
    </xf>
    <xf numFmtId="4" fontId="0" fillId="18" borderId="1" xfId="0" applyNumberFormat="1" applyFill="1" applyBorder="1" applyAlignment="1">
      <alignment vertical="center"/>
    </xf>
    <xf numFmtId="3" fontId="0" fillId="18" borderId="1" xfId="0" applyNumberFormat="1" applyFill="1" applyBorder="1" applyAlignment="1">
      <alignment vertical="center"/>
    </xf>
    <xf numFmtId="49" fontId="12" fillId="18" borderId="1" xfId="0" applyNumberFormat="1" applyFont="1" applyFill="1" applyBorder="1" applyAlignment="1">
      <alignment vertical="center" wrapText="1"/>
    </xf>
    <xf numFmtId="49" fontId="15" fillId="18" borderId="1" xfId="0" applyNumberFormat="1" applyFont="1" applyFill="1" applyBorder="1" applyAlignment="1">
      <alignment vertical="center" wrapText="1"/>
    </xf>
    <xf numFmtId="0" fontId="10" fillId="18" borderId="1" xfId="0" applyFont="1" applyFill="1" applyBorder="1" applyAlignment="1">
      <alignment vertical="center" wrapText="1"/>
    </xf>
    <xf numFmtId="0" fontId="0" fillId="18" borderId="1" xfId="0" applyFill="1" applyBorder="1" applyAlignment="1">
      <alignment vertical="center" wrapText="1"/>
    </xf>
    <xf numFmtId="49" fontId="0" fillId="18" borderId="1" xfId="0" applyNumberFormat="1" applyFill="1" applyBorder="1" applyAlignment="1">
      <alignment vertical="center" wrapText="1"/>
    </xf>
    <xf numFmtId="0" fontId="0" fillId="18" borderId="1" xfId="0" applyFill="1" applyBorder="1" applyAlignment="1">
      <alignment vertical="center"/>
    </xf>
    <xf numFmtId="49" fontId="12" fillId="2" borderId="1" xfId="0" applyNumberFormat="1" applyFont="1" applyFill="1" applyBorder="1" applyAlignment="1">
      <alignment vertical="center" wrapText="1"/>
    </xf>
    <xf numFmtId="0" fontId="24" fillId="2" borderId="5" xfId="0" applyFont="1" applyFill="1" applyBorder="1" applyAlignment="1">
      <alignment vertical="center" wrapText="1"/>
    </xf>
    <xf numFmtId="0" fontId="24" fillId="3" borderId="1" xfId="0" applyFont="1" applyFill="1" applyBorder="1" applyAlignment="1">
      <alignment vertical="center" wrapText="1"/>
    </xf>
    <xf numFmtId="0" fontId="0" fillId="2" borderId="1" xfId="0" applyFill="1" applyBorder="1" applyAlignment="1">
      <alignment vertical="center" wrapText="1"/>
    </xf>
    <xf numFmtId="0" fontId="0" fillId="2" borderId="1" xfId="0" applyFill="1" applyBorder="1" applyAlignment="1">
      <alignment vertical="center"/>
    </xf>
    <xf numFmtId="49" fontId="25" fillId="14" borderId="1" xfId="0" applyNumberFormat="1" applyFont="1" applyFill="1" applyBorder="1" applyAlignment="1">
      <alignment vertical="center" wrapText="1"/>
    </xf>
    <xf numFmtId="0" fontId="27" fillId="14" borderId="1" xfId="0" applyFont="1" applyFill="1" applyBorder="1" applyAlignment="1">
      <alignment vertical="center" wrapText="1"/>
    </xf>
    <xf numFmtId="4" fontId="0" fillId="3" borderId="1" xfId="0" applyNumberFormat="1" applyFill="1" applyBorder="1" applyAlignment="1">
      <alignment vertical="center"/>
    </xf>
    <xf numFmtId="2" fontId="0" fillId="0" borderId="1" xfId="0" applyNumberFormat="1" applyBorder="1" applyAlignment="1">
      <alignment vertical="center"/>
    </xf>
    <xf numFmtId="43" fontId="18" fillId="5" borderId="5" xfId="0" applyNumberFormat="1" applyFont="1" applyFill="1" applyBorder="1" applyAlignment="1">
      <alignment vertical="center" wrapText="1"/>
    </xf>
    <xf numFmtId="49" fontId="15" fillId="2" borderId="1" xfId="0" applyNumberFormat="1" applyFont="1" applyFill="1" applyBorder="1" applyAlignment="1">
      <alignment vertical="center" wrapText="1"/>
    </xf>
    <xf numFmtId="49" fontId="15" fillId="5" borderId="1" xfId="0" applyNumberFormat="1" applyFont="1" applyFill="1" applyBorder="1" applyAlignment="1">
      <alignment vertical="center" wrapText="1"/>
    </xf>
    <xf numFmtId="49" fontId="15" fillId="3" borderId="9" xfId="0" applyNumberFormat="1" applyFont="1" applyFill="1" applyBorder="1" applyAlignment="1">
      <alignment vertical="center" wrapText="1"/>
    </xf>
    <xf numFmtId="0" fontId="0" fillId="2" borderId="7" xfId="0" applyFill="1" applyBorder="1" applyAlignment="1">
      <alignment vertical="center" wrapText="1"/>
    </xf>
    <xf numFmtId="168" fontId="15" fillId="0" borderId="1" xfId="0" applyNumberFormat="1" applyFont="1" applyBorder="1" applyAlignment="1">
      <alignment vertical="center"/>
    </xf>
    <xf numFmtId="0" fontId="12" fillId="0" borderId="8" xfId="0" applyFont="1" applyBorder="1" applyAlignment="1">
      <alignment vertical="center"/>
    </xf>
    <xf numFmtId="0" fontId="12" fillId="0" borderId="1" xfId="0" applyFont="1" applyBorder="1" applyAlignment="1">
      <alignment vertical="center"/>
    </xf>
    <xf numFmtId="0" fontId="12" fillId="0" borderId="1" xfId="0" applyFont="1" applyBorder="1" applyAlignment="1">
      <alignment vertical="center" wrapText="1"/>
    </xf>
    <xf numFmtId="49" fontId="13" fillId="0" borderId="1" xfId="0" applyNumberFormat="1" applyFont="1" applyBorder="1" applyAlignment="1">
      <alignment vertical="center" wrapText="1"/>
    </xf>
    <xf numFmtId="49" fontId="15" fillId="0" borderId="1" xfId="0" applyNumberFormat="1" applyFont="1" applyBorder="1" applyAlignment="1">
      <alignment vertical="center" wrapText="1"/>
    </xf>
    <xf numFmtId="0" fontId="18" fillId="0" borderId="1" xfId="0" applyFont="1" applyBorder="1" applyAlignment="1">
      <alignment vertical="center" wrapText="1"/>
    </xf>
    <xf numFmtId="49" fontId="13" fillId="0" borderId="1" xfId="0" applyNumberFormat="1" applyFont="1" applyBorder="1" applyAlignment="1">
      <alignment vertical="center"/>
    </xf>
    <xf numFmtId="49" fontId="15" fillId="0" borderId="1" xfId="0" applyNumberFormat="1" applyFont="1" applyBorder="1" applyAlignment="1">
      <alignment vertical="center"/>
    </xf>
    <xf numFmtId="0" fontId="24" fillId="0" borderId="1" xfId="0" applyFont="1" applyBorder="1" applyAlignment="1">
      <alignment vertical="center"/>
    </xf>
    <xf numFmtId="0" fontId="24" fillId="0" borderId="1" xfId="0" applyFont="1" applyBorder="1" applyAlignment="1">
      <alignment vertical="center" wrapText="1"/>
    </xf>
    <xf numFmtId="3" fontId="29" fillId="0" borderId="1" xfId="0" applyNumberFormat="1" applyFont="1" applyBorder="1" applyAlignment="1">
      <alignment vertical="center" wrapText="1"/>
    </xf>
    <xf numFmtId="0" fontId="29" fillId="0" borderId="1" xfId="0" applyFont="1" applyBorder="1" applyAlignment="1">
      <alignment vertical="center" wrapText="1"/>
    </xf>
    <xf numFmtId="0" fontId="18" fillId="0" borderId="1" xfId="0" applyFont="1" applyBorder="1" applyAlignment="1">
      <alignment vertical="center"/>
    </xf>
    <xf numFmtId="43" fontId="18" fillId="0" borderId="1" xfId="0" applyNumberFormat="1" applyFont="1" applyBorder="1" applyAlignment="1">
      <alignment vertical="center" wrapText="1"/>
    </xf>
    <xf numFmtId="3" fontId="18" fillId="0" borderId="1" xfId="0" applyNumberFormat="1" applyFont="1" applyBorder="1" applyAlignment="1">
      <alignment vertical="center" wrapText="1"/>
    </xf>
    <xf numFmtId="167" fontId="18" fillId="0" borderId="1" xfId="0" applyNumberFormat="1" applyFont="1" applyBorder="1" applyAlignment="1">
      <alignment vertical="center" wrapText="1"/>
    </xf>
    <xf numFmtId="168" fontId="0" fillId="0" borderId="1" xfId="0" applyNumberFormat="1" applyBorder="1" applyAlignment="1">
      <alignment vertical="center"/>
    </xf>
    <xf numFmtId="4" fontId="0" fillId="0" borderId="1" xfId="0" applyNumberFormat="1" applyBorder="1" applyAlignment="1">
      <alignment vertical="center"/>
    </xf>
    <xf numFmtId="49" fontId="0" fillId="0" borderId="1" xfId="0" applyNumberFormat="1" applyBorder="1" applyAlignment="1">
      <alignment vertical="center" wrapText="1"/>
    </xf>
    <xf numFmtId="0" fontId="22" fillId="0" borderId="1" xfId="0" applyFont="1" applyBorder="1" applyAlignment="1">
      <alignment vertical="center" wrapText="1"/>
    </xf>
    <xf numFmtId="0" fontId="0" fillId="0" borderId="1" xfId="0" applyBorder="1" applyAlignment="1">
      <alignment vertical="center" wrapText="1"/>
    </xf>
    <xf numFmtId="0" fontId="30" fillId="0" borderId="1" xfId="0" applyFont="1" applyBorder="1" applyAlignment="1">
      <alignment vertical="center" wrapText="1"/>
    </xf>
    <xf numFmtId="43" fontId="23" fillId="0" borderId="1" xfId="0" applyNumberFormat="1" applyFont="1" applyBorder="1" applyAlignment="1">
      <alignment vertical="center" wrapText="1"/>
    </xf>
    <xf numFmtId="0" fontId="21" fillId="0" borderId="1" xfId="1" applyFont="1" applyFill="1" applyBorder="1" applyAlignment="1">
      <alignment vertical="center" wrapText="1"/>
    </xf>
    <xf numFmtId="3" fontId="31" fillId="0" borderId="1" xfId="0" applyNumberFormat="1" applyFont="1" applyBorder="1" applyAlignment="1">
      <alignment vertical="center"/>
    </xf>
    <xf numFmtId="167" fontId="0" fillId="0" borderId="0" xfId="0" applyNumberFormat="1" applyAlignment="1">
      <alignment vertical="center"/>
    </xf>
    <xf numFmtId="0" fontId="30" fillId="0" borderId="1" xfId="0" applyFont="1" applyBorder="1" applyAlignment="1">
      <alignment horizontal="center" vertical="center" wrapText="1"/>
    </xf>
    <xf numFmtId="0" fontId="24" fillId="0" borderId="1" xfId="0" quotePrefix="1" applyFont="1" applyBorder="1" applyAlignment="1">
      <alignment vertical="center"/>
    </xf>
    <xf numFmtId="167" fontId="0" fillId="0" borderId="1" xfId="0" applyNumberFormat="1" applyBorder="1" applyAlignment="1">
      <alignment vertical="center"/>
    </xf>
    <xf numFmtId="0" fontId="18" fillId="0" borderId="1" xfId="0" quotePrefix="1" applyFont="1" applyBorder="1" applyAlignment="1">
      <alignment vertical="center"/>
    </xf>
    <xf numFmtId="167" fontId="18" fillId="0" borderId="8" xfId="0" applyNumberFormat="1" applyFont="1" applyBorder="1" applyAlignment="1">
      <alignment vertical="center" wrapText="1"/>
    </xf>
    <xf numFmtId="0" fontId="18" fillId="0" borderId="1" xfId="0" applyFont="1" applyBorder="1" applyAlignment="1">
      <alignment horizontal="center" vertical="center"/>
    </xf>
    <xf numFmtId="168" fontId="15" fillId="19" borderId="1" xfId="0" applyNumberFormat="1" applyFont="1" applyFill="1" applyBorder="1" applyAlignment="1">
      <alignment vertical="center"/>
    </xf>
    <xf numFmtId="168" fontId="0" fillId="19" borderId="1" xfId="0" applyNumberFormat="1" applyFill="1" applyBorder="1" applyAlignment="1">
      <alignment vertical="center"/>
    </xf>
    <xf numFmtId="0" fontId="9" fillId="0" borderId="0" xfId="0" applyFont="1" applyAlignment="1">
      <alignment vertical="center"/>
    </xf>
    <xf numFmtId="0" fontId="9" fillId="0" borderId="0" xfId="0" applyFont="1" applyAlignment="1">
      <alignment vertical="center" wrapText="1"/>
    </xf>
    <xf numFmtId="0" fontId="1" fillId="0" borderId="0" xfId="1" applyFill="1" applyBorder="1" applyAlignment="1">
      <alignment vertical="center" wrapText="1"/>
    </xf>
    <xf numFmtId="43" fontId="9" fillId="0" borderId="0" xfId="0" applyNumberFormat="1" applyFont="1" applyAlignment="1">
      <alignment vertical="center"/>
    </xf>
    <xf numFmtId="0" fontId="1" fillId="0" borderId="0" xfId="1" applyFill="1" applyBorder="1" applyAlignment="1">
      <alignment vertical="center"/>
    </xf>
    <xf numFmtId="0" fontId="9" fillId="20" borderId="0" xfId="0" applyFont="1" applyFill="1" applyAlignment="1">
      <alignment vertical="center"/>
    </xf>
    <xf numFmtId="0" fontId="9" fillId="20" borderId="0" xfId="0" applyFont="1" applyFill="1" applyAlignment="1">
      <alignment vertical="center" wrapText="1"/>
    </xf>
    <xf numFmtId="0" fontId="1" fillId="20" borderId="0" xfId="1" applyFill="1" applyBorder="1" applyAlignment="1">
      <alignment vertical="center" wrapText="1"/>
    </xf>
    <xf numFmtId="43" fontId="9" fillId="20" borderId="0" xfId="0" applyNumberFormat="1" applyFont="1" applyFill="1" applyAlignment="1">
      <alignment vertical="center"/>
    </xf>
    <xf numFmtId="0" fontId="1" fillId="20" borderId="0" xfId="1" applyFill="1" applyBorder="1" applyAlignment="1">
      <alignment vertical="center"/>
    </xf>
    <xf numFmtId="0" fontId="9" fillId="21" borderId="0" xfId="0" applyFont="1" applyFill="1" applyAlignment="1">
      <alignment vertical="center"/>
    </xf>
    <xf numFmtId="0" fontId="9" fillId="21" borderId="0" xfId="0" applyFont="1" applyFill="1" applyAlignment="1">
      <alignment vertical="center" wrapText="1"/>
    </xf>
    <xf numFmtId="0" fontId="1" fillId="21" borderId="0" xfId="1" applyFill="1" applyBorder="1" applyAlignment="1">
      <alignment vertical="center" wrapText="1"/>
    </xf>
    <xf numFmtId="43" fontId="9" fillId="21" borderId="0" xfId="0" applyNumberFormat="1" applyFont="1" applyFill="1" applyAlignment="1">
      <alignment vertical="center"/>
    </xf>
    <xf numFmtId="0" fontId="1" fillId="21" borderId="0" xfId="1" applyFill="1" applyBorder="1" applyAlignment="1">
      <alignment vertical="center"/>
    </xf>
    <xf numFmtId="0" fontId="9" fillId="22" borderId="0" xfId="0" applyFont="1" applyFill="1" applyAlignment="1">
      <alignment vertical="center" wrapText="1"/>
    </xf>
    <xf numFmtId="0" fontId="18" fillId="23" borderId="1" xfId="0" applyFont="1" applyFill="1" applyBorder="1" applyAlignment="1">
      <alignment vertical="center" wrapText="1"/>
    </xf>
    <xf numFmtId="0" fontId="0" fillId="22" borderId="1" xfId="0" applyFill="1" applyBorder="1" applyAlignment="1">
      <alignment vertical="center"/>
    </xf>
    <xf numFmtId="168" fontId="15" fillId="22" borderId="1" xfId="0" applyNumberFormat="1" applyFont="1" applyFill="1" applyBorder="1" applyAlignment="1">
      <alignment vertical="center"/>
    </xf>
    <xf numFmtId="4" fontId="0" fillId="22" borderId="1" xfId="0" applyNumberFormat="1" applyFill="1" applyBorder="1" applyAlignment="1">
      <alignment vertical="center"/>
    </xf>
    <xf numFmtId="3" fontId="0" fillId="22" borderId="1" xfId="0" applyNumberFormat="1" applyFill="1" applyBorder="1" applyAlignment="1">
      <alignment vertical="center"/>
    </xf>
    <xf numFmtId="49" fontId="0" fillId="22" borderId="1" xfId="0" applyNumberFormat="1" applyFill="1" applyBorder="1" applyAlignment="1">
      <alignment vertical="center" wrapText="1"/>
    </xf>
    <xf numFmtId="49" fontId="13" fillId="0" borderId="5" xfId="0" applyNumberFormat="1" applyFont="1" applyBorder="1" applyAlignment="1">
      <alignment horizontal="left" wrapText="1"/>
    </xf>
    <xf numFmtId="49" fontId="13" fillId="0" borderId="6" xfId="0" applyNumberFormat="1" applyFont="1" applyBorder="1" applyAlignment="1">
      <alignment horizontal="left" wrapText="1"/>
    </xf>
  </cellXfs>
  <cellStyles count="2">
    <cellStyle name="Hyperlink" xfId="1" xr:uid="{00000000-000B-0000-0000-000008000000}"/>
    <cellStyle name="Обычный" xfId="0" builtinId="0"/>
  </cellStyles>
  <dxfs count="0"/>
  <tableStyles count="0" defaultTableStyle="TableStyleMedium2" defaultPivotStyle="PivotStyleMedium9"/>
  <colors>
    <mruColors>
      <color rgb="FFFFBABA"/>
      <color rgb="FFF7F7A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ru-RU"/>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z-Cyrl-AZ"/>
              <a:t>Свод по конкурентам</a:t>
            </a:r>
          </a:p>
        </c:rich>
      </c:tx>
      <c:layout>
        <c:manualLayout>
          <c:xMode val="edge"/>
          <c:yMode val="edge"/>
          <c:x val="0.40221871690012101"/>
          <c:y val="1.71079305427380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СВОД!$D$6</c:f>
              <c:strCache>
                <c:ptCount val="1"/>
                <c:pt idx="0">
                  <c:v>Кол-во тендеров</c:v>
                </c:pt>
              </c:strCache>
            </c:strRef>
          </c:tx>
          <c:spPr>
            <a:solidFill>
              <a:schemeClr val="accent1"/>
            </a:solidFill>
            <a:ln>
              <a:noFill/>
            </a:ln>
            <a:effectLst/>
          </c:spPr>
          <c:invertIfNegative val="0"/>
          <c:cat>
            <c:strRef>
              <c:f>СВОД!$C$7:$C$27</c:f>
              <c:strCache>
                <c:ptCount val="21"/>
                <c:pt idx="0">
                  <c:v>ТОО "QazCloud (КазКлауд)"</c:v>
                </c:pt>
                <c:pt idx="1">
                  <c:v>Научно-производственное объединение «Перспектива» ООО</c:v>
                </c:pt>
                <c:pt idx="2">
                  <c:v>АО "Казахтелеком"</c:v>
                </c:pt>
                <c:pt idx="3">
                  <c:v>ТОО "Научно-производственное объединение "Перспектива"</c:v>
                </c:pt>
                <c:pt idx="4">
                  <c:v>ТОО "Научно-производственное объединение "Перспектива"</c:v>
                </c:pt>
                <c:pt idx="5">
                  <c:v>ТОО "SmartApps"</c:v>
                </c:pt>
                <c:pt idx="6">
                  <c:v>ТОО "Energy Solutions Center"</c:v>
                </c:pt>
                <c:pt idx="7">
                  <c:v>АО "Транстелеком"</c:v>
                </c:pt>
                <c:pt idx="8">
                  <c:v>ТОО "ЦИФС"</c:v>
                </c:pt>
                <c:pt idx="9">
                  <c:v>ТОО "NTL KAZAKHSTAN"</c:v>
                </c:pt>
                <c:pt idx="10">
                  <c:v>ТОО "Cosmos Group"</c:v>
                </c:pt>
                <c:pt idx="11">
                  <c:v>Казтелепорт</c:v>
                </c:pt>
                <c:pt idx="12">
                  <c:v>ТОО ИК "Первая Страница"</c:v>
                </c:pt>
                <c:pt idx="13">
                  <c:v>ТОО "Qaz new techno"</c:v>
                </c:pt>
                <c:pt idx="14">
                  <c:v>ТОО "Middle Comm"</c:v>
                </c:pt>
                <c:pt idx="15">
                  <c:v>ТОО "KT
Cloud Lab"</c:v>
                </c:pt>
                <c:pt idx="16">
                  <c:v>ТОО "Научно-исследовательская лаборатория "Гамма Технологии"</c:v>
                </c:pt>
                <c:pt idx="17">
                  <c:v>ТОО "Energy Construction Engineering"</c:v>
                </c:pt>
                <c:pt idx="18">
                  <c:v>ТОО "Группа компаний VISION"</c:v>
                </c:pt>
                <c:pt idx="19">
                  <c:v>ТОО "EQU Technologies"</c:v>
                </c:pt>
                <c:pt idx="20">
                  <c:v>	ТОО "MSSP.GL"</c:v>
                </c:pt>
              </c:strCache>
            </c:strRef>
          </c:cat>
          <c:val>
            <c:numRef>
              <c:f>СВОД!$D$7:$D$27</c:f>
              <c:numCache>
                <c:formatCode>General</c:formatCode>
                <c:ptCount val="21"/>
                <c:pt idx="0" formatCode="_(* #,##0_);_(* \(#,##0\);_(* &quot;-&quot;??_);_(@_)">
                  <c:v>18</c:v>
                </c:pt>
                <c:pt idx="1">
                  <c:v>1</c:v>
                </c:pt>
                <c:pt idx="2">
                  <c:v>3</c:v>
                </c:pt>
                <c:pt idx="3">
                  <c:v>1</c:v>
                </c:pt>
                <c:pt idx="4">
                  <c:v>1</c:v>
                </c:pt>
                <c:pt idx="5">
                  <c:v>2</c:v>
                </c:pt>
                <c:pt idx="6">
                  <c:v>1</c:v>
                </c:pt>
                <c:pt idx="7">
                  <c:v>4</c:v>
                </c:pt>
                <c:pt idx="8">
                  <c:v>2</c:v>
                </c:pt>
                <c:pt idx="9">
                  <c:v>1</c:v>
                </c:pt>
                <c:pt idx="10">
                  <c:v>1</c:v>
                </c:pt>
                <c:pt idx="11">
                  <c:v>1</c:v>
                </c:pt>
                <c:pt idx="12">
                  <c:v>2</c:v>
                </c:pt>
                <c:pt idx="13">
                  <c:v>1</c:v>
                </c:pt>
                <c:pt idx="14">
                  <c:v>1</c:v>
                </c:pt>
                <c:pt idx="15">
                  <c:v>1</c:v>
                </c:pt>
                <c:pt idx="16">
                  <c:v>1</c:v>
                </c:pt>
                <c:pt idx="17">
                  <c:v>1</c:v>
                </c:pt>
                <c:pt idx="18">
                  <c:v>1</c:v>
                </c:pt>
                <c:pt idx="19">
                  <c:v>2</c:v>
                </c:pt>
                <c:pt idx="20">
                  <c:v>1</c:v>
                </c:pt>
              </c:numCache>
            </c:numRef>
          </c:val>
          <c:extLst>
            <c:ext xmlns:c16="http://schemas.microsoft.com/office/drawing/2014/chart" uri="{C3380CC4-5D6E-409C-BE32-E72D297353CC}">
              <c16:uniqueId val="{00000000-3F67-4C06-BC1B-BC8A44C2478B}"/>
            </c:ext>
          </c:extLst>
        </c:ser>
        <c:ser>
          <c:idx val="1"/>
          <c:order val="1"/>
          <c:tx>
            <c:strRef>
              <c:f>СВОД!$E$6</c:f>
              <c:strCache>
                <c:ptCount val="1"/>
                <c:pt idx="0">
                  <c:v>Не состоялись</c:v>
                </c:pt>
              </c:strCache>
            </c:strRef>
          </c:tx>
          <c:spPr>
            <a:solidFill>
              <a:schemeClr val="accent2"/>
            </a:solidFill>
            <a:ln>
              <a:noFill/>
            </a:ln>
            <a:effectLst/>
          </c:spPr>
          <c:invertIfNegative val="0"/>
          <c:cat>
            <c:strRef>
              <c:f>СВОД!$C$7:$C$27</c:f>
              <c:strCache>
                <c:ptCount val="21"/>
                <c:pt idx="0">
                  <c:v>ТОО "QazCloud (КазКлауд)"</c:v>
                </c:pt>
                <c:pt idx="1">
                  <c:v>Научно-производственное объединение «Перспектива» ООО</c:v>
                </c:pt>
                <c:pt idx="2">
                  <c:v>АО "Казахтелеком"</c:v>
                </c:pt>
                <c:pt idx="3">
                  <c:v>ТОО "Научно-производственное объединение "Перспектива"</c:v>
                </c:pt>
                <c:pt idx="4">
                  <c:v>ТОО "Научно-производственное объединение "Перспектива"</c:v>
                </c:pt>
                <c:pt idx="5">
                  <c:v>ТОО "SmartApps"</c:v>
                </c:pt>
                <c:pt idx="6">
                  <c:v>ТОО "Energy Solutions Center"</c:v>
                </c:pt>
                <c:pt idx="7">
                  <c:v>АО "Транстелеком"</c:v>
                </c:pt>
                <c:pt idx="8">
                  <c:v>ТОО "ЦИФС"</c:v>
                </c:pt>
                <c:pt idx="9">
                  <c:v>ТОО "NTL KAZAKHSTAN"</c:v>
                </c:pt>
                <c:pt idx="10">
                  <c:v>ТОО "Cosmos Group"</c:v>
                </c:pt>
                <c:pt idx="11">
                  <c:v>Казтелепорт</c:v>
                </c:pt>
                <c:pt idx="12">
                  <c:v>ТОО ИК "Первая Страница"</c:v>
                </c:pt>
                <c:pt idx="13">
                  <c:v>ТОО "Qaz new techno"</c:v>
                </c:pt>
                <c:pt idx="14">
                  <c:v>ТОО "Middle Comm"</c:v>
                </c:pt>
                <c:pt idx="15">
                  <c:v>ТОО "KT
Cloud Lab"</c:v>
                </c:pt>
                <c:pt idx="16">
                  <c:v>ТОО "Научно-исследовательская лаборатория "Гамма Технологии"</c:v>
                </c:pt>
                <c:pt idx="17">
                  <c:v>ТОО "Energy Construction Engineering"</c:v>
                </c:pt>
                <c:pt idx="18">
                  <c:v>ТОО "Группа компаний VISION"</c:v>
                </c:pt>
                <c:pt idx="19">
                  <c:v>ТОО "EQU Technologies"</c:v>
                </c:pt>
                <c:pt idx="20">
                  <c:v>	ТОО "MSSP.GL"</c:v>
                </c:pt>
              </c:strCache>
            </c:strRef>
          </c:cat>
          <c:val>
            <c:numRef>
              <c:f>СВОД!$E$7:$E$27</c:f>
              <c:numCache>
                <c:formatCode>General</c:formatCode>
                <c:ptCount val="21"/>
              </c:numCache>
            </c:numRef>
          </c:val>
          <c:extLst>
            <c:ext xmlns:c16="http://schemas.microsoft.com/office/drawing/2014/chart" uri="{C3380CC4-5D6E-409C-BE32-E72D297353CC}">
              <c16:uniqueId val="{00000002-3F67-4C06-BC1B-BC8A44C2478B}"/>
            </c:ext>
          </c:extLst>
        </c:ser>
        <c:ser>
          <c:idx val="2"/>
          <c:order val="2"/>
          <c:tx>
            <c:strRef>
              <c:f>СВОД!$F$6</c:f>
              <c:strCache>
                <c:ptCount val="1"/>
                <c:pt idx="0">
                  <c:v>Сумма выйгрыша</c:v>
                </c:pt>
              </c:strCache>
            </c:strRef>
          </c:tx>
          <c:spPr>
            <a:solidFill>
              <a:schemeClr val="accent3"/>
            </a:solidFill>
            <a:ln>
              <a:noFill/>
            </a:ln>
            <a:effectLst/>
          </c:spPr>
          <c:invertIfNegative val="0"/>
          <c:cat>
            <c:strRef>
              <c:f>СВОД!$C$7:$C$27</c:f>
              <c:strCache>
                <c:ptCount val="21"/>
                <c:pt idx="0">
                  <c:v>ТОО "QazCloud (КазКлауд)"</c:v>
                </c:pt>
                <c:pt idx="1">
                  <c:v>Научно-производственное объединение «Перспектива» ООО</c:v>
                </c:pt>
                <c:pt idx="2">
                  <c:v>АО "Казахтелеком"</c:v>
                </c:pt>
                <c:pt idx="3">
                  <c:v>ТОО "Научно-производственное объединение "Перспектива"</c:v>
                </c:pt>
                <c:pt idx="4">
                  <c:v>ТОО "Научно-производственное объединение "Перспектива"</c:v>
                </c:pt>
                <c:pt idx="5">
                  <c:v>ТОО "SmartApps"</c:v>
                </c:pt>
                <c:pt idx="6">
                  <c:v>ТОО "Energy Solutions Center"</c:v>
                </c:pt>
                <c:pt idx="7">
                  <c:v>АО "Транстелеком"</c:v>
                </c:pt>
                <c:pt idx="8">
                  <c:v>ТОО "ЦИФС"</c:v>
                </c:pt>
                <c:pt idx="9">
                  <c:v>ТОО "NTL KAZAKHSTAN"</c:v>
                </c:pt>
                <c:pt idx="10">
                  <c:v>ТОО "Cosmos Group"</c:v>
                </c:pt>
                <c:pt idx="11">
                  <c:v>Казтелепорт</c:v>
                </c:pt>
                <c:pt idx="12">
                  <c:v>ТОО ИК "Первая Страница"</c:v>
                </c:pt>
                <c:pt idx="13">
                  <c:v>ТОО "Qaz new techno"</c:v>
                </c:pt>
                <c:pt idx="14">
                  <c:v>ТОО "Middle Comm"</c:v>
                </c:pt>
                <c:pt idx="15">
                  <c:v>ТОО "KT
Cloud Lab"</c:v>
                </c:pt>
                <c:pt idx="16">
                  <c:v>ТОО "Научно-исследовательская лаборатория "Гамма Технологии"</c:v>
                </c:pt>
                <c:pt idx="17">
                  <c:v>ТОО "Energy Construction Engineering"</c:v>
                </c:pt>
                <c:pt idx="18">
                  <c:v>ТОО "Группа компаний VISION"</c:v>
                </c:pt>
                <c:pt idx="19">
                  <c:v>ТОО "EQU Technologies"</c:v>
                </c:pt>
                <c:pt idx="20">
                  <c:v>	ТОО "MSSP.GL"</c:v>
                </c:pt>
              </c:strCache>
            </c:strRef>
          </c:cat>
          <c:val>
            <c:numRef>
              <c:f>СВОД!$F$7:$F$27</c:f>
              <c:numCache>
                <c:formatCode>#,##0</c:formatCode>
                <c:ptCount val="21"/>
                <c:pt idx="0" formatCode="_(* #,##0_);_(* \(#,##0\);_(* &quot;-&quot;??_);_(@_)">
                  <c:v>1321951877</c:v>
                </c:pt>
                <c:pt idx="1">
                  <c:v>349766928.56999999</c:v>
                </c:pt>
                <c:pt idx="2">
                  <c:v>44212304.600000001</c:v>
                </c:pt>
                <c:pt idx="3" formatCode="_(* #,##0_);_(* \(#,##0\);_(* &quot;-&quot;??_);_(@_)">
                  <c:v>126027664.29000001</c:v>
                </c:pt>
                <c:pt idx="4">
                  <c:v>126027664.29000001</c:v>
                </c:pt>
                <c:pt idx="5">
                  <c:v>42350044.640000001</c:v>
                </c:pt>
                <c:pt idx="6" formatCode="_(* #,##0_);_(* \(#,##0\);_(* &quot;-&quot;??_);_(@_)">
                  <c:v>67896030.219999999</c:v>
                </c:pt>
                <c:pt idx="7">
                  <c:v>168879715.68000001</c:v>
                </c:pt>
                <c:pt idx="8">
                  <c:v>96554594.5</c:v>
                </c:pt>
                <c:pt idx="9">
                  <c:v>32900000</c:v>
                </c:pt>
                <c:pt idx="10">
                  <c:v>25444642.859999999</c:v>
                </c:pt>
                <c:pt idx="11" formatCode="_(* #,##0_);_(* \(#,##0\);_(* &quot;-&quot;??_);_(@_)">
                  <c:v>20581787.100000001</c:v>
                </c:pt>
                <c:pt idx="12">
                  <c:v>4785546</c:v>
                </c:pt>
                <c:pt idx="13">
                  <c:v>18600000</c:v>
                </c:pt>
                <c:pt idx="14">
                  <c:v>18437496.43</c:v>
                </c:pt>
                <c:pt idx="15">
                  <c:v>14840528.6</c:v>
                </c:pt>
                <c:pt idx="16">
                  <c:v>6346428.5700000003</c:v>
                </c:pt>
                <c:pt idx="17">
                  <c:v>5477276.6600000001</c:v>
                </c:pt>
                <c:pt idx="18">
                  <c:v>4785546</c:v>
                </c:pt>
                <c:pt idx="19">
                  <c:v>28000000</c:v>
                </c:pt>
                <c:pt idx="20">
                  <c:v>1485540</c:v>
                </c:pt>
              </c:numCache>
            </c:numRef>
          </c:val>
          <c:extLst>
            <c:ext xmlns:c16="http://schemas.microsoft.com/office/drawing/2014/chart" uri="{C3380CC4-5D6E-409C-BE32-E72D297353CC}">
              <c16:uniqueId val="{00000004-3F67-4C06-BC1B-BC8A44C2478B}"/>
            </c:ext>
          </c:extLst>
        </c:ser>
        <c:ser>
          <c:idx val="3"/>
          <c:order val="3"/>
          <c:tx>
            <c:strRef>
              <c:f>СВОД!$G$6</c:f>
              <c:strCache>
                <c:ptCount val="1"/>
                <c:pt idx="0">
                  <c:v>% понижения</c:v>
                </c:pt>
              </c:strCache>
            </c:strRef>
          </c:tx>
          <c:spPr>
            <a:solidFill>
              <a:schemeClr val="accent4"/>
            </a:solidFill>
            <a:ln>
              <a:noFill/>
            </a:ln>
            <a:effectLst/>
          </c:spPr>
          <c:invertIfNegative val="0"/>
          <c:cat>
            <c:strRef>
              <c:f>СВОД!$C$7:$C$27</c:f>
              <c:strCache>
                <c:ptCount val="21"/>
                <c:pt idx="0">
                  <c:v>ТОО "QazCloud (КазКлауд)"</c:v>
                </c:pt>
                <c:pt idx="1">
                  <c:v>Научно-производственное объединение «Перспектива» ООО</c:v>
                </c:pt>
                <c:pt idx="2">
                  <c:v>АО "Казахтелеком"</c:v>
                </c:pt>
                <c:pt idx="3">
                  <c:v>ТОО "Научно-производственное объединение "Перспектива"</c:v>
                </c:pt>
                <c:pt idx="4">
                  <c:v>ТОО "Научно-производственное объединение "Перспектива"</c:v>
                </c:pt>
                <c:pt idx="5">
                  <c:v>ТОО "SmartApps"</c:v>
                </c:pt>
                <c:pt idx="6">
                  <c:v>ТОО "Energy Solutions Center"</c:v>
                </c:pt>
                <c:pt idx="7">
                  <c:v>АО "Транстелеком"</c:v>
                </c:pt>
                <c:pt idx="8">
                  <c:v>ТОО "ЦИФС"</c:v>
                </c:pt>
                <c:pt idx="9">
                  <c:v>ТОО "NTL KAZAKHSTAN"</c:v>
                </c:pt>
                <c:pt idx="10">
                  <c:v>ТОО "Cosmos Group"</c:v>
                </c:pt>
                <c:pt idx="11">
                  <c:v>Казтелепорт</c:v>
                </c:pt>
                <c:pt idx="12">
                  <c:v>ТОО ИК "Первая Страница"</c:v>
                </c:pt>
                <c:pt idx="13">
                  <c:v>ТОО "Qaz new techno"</c:v>
                </c:pt>
                <c:pt idx="14">
                  <c:v>ТОО "Middle Comm"</c:v>
                </c:pt>
                <c:pt idx="15">
                  <c:v>ТОО "KT
Cloud Lab"</c:v>
                </c:pt>
                <c:pt idx="16">
                  <c:v>ТОО "Научно-исследовательская лаборатория "Гамма Технологии"</c:v>
                </c:pt>
                <c:pt idx="17">
                  <c:v>ТОО "Energy Construction Engineering"</c:v>
                </c:pt>
                <c:pt idx="18">
                  <c:v>ТОО "Группа компаний VISION"</c:v>
                </c:pt>
                <c:pt idx="19">
                  <c:v>ТОО "EQU Technologies"</c:v>
                </c:pt>
                <c:pt idx="20">
                  <c:v>	ТОО "MSSP.GL"</c:v>
                </c:pt>
              </c:strCache>
            </c:strRef>
          </c:cat>
          <c:val>
            <c:numRef>
              <c:f>СВОД!$G$7:$G$27</c:f>
              <c:numCache>
                <c:formatCode>0%</c:formatCode>
                <c:ptCount val="21"/>
                <c:pt idx="0" formatCode="0.0%">
                  <c:v>-0.13216389789969521</c:v>
                </c:pt>
                <c:pt idx="1">
                  <c:v>0</c:v>
                </c:pt>
                <c:pt idx="2">
                  <c:v>0</c:v>
                </c:pt>
                <c:pt idx="3">
                  <c:v>0</c:v>
                </c:pt>
                <c:pt idx="4">
                  <c:v>0</c:v>
                </c:pt>
                <c:pt idx="5" formatCode="0.0%">
                  <c:v>-2.1226020568084328E-2</c:v>
                </c:pt>
                <c:pt idx="6">
                  <c:v>0</c:v>
                </c:pt>
                <c:pt idx="7" formatCode="0.0%">
                  <c:v>-0.29881033701394161</c:v>
                </c:pt>
                <c:pt idx="8" formatCode="0.0%">
                  <c:v>-8.3333400000000002E-2</c:v>
                </c:pt>
                <c:pt idx="9" formatCode="0.0%">
                  <c:v>-4.9480395359247026E-3</c:v>
                </c:pt>
                <c:pt idx="10" formatCode="0.0%">
                  <c:v>-1.7005261114226001E-2</c:v>
                </c:pt>
                <c:pt idx="11" formatCode="0.0%">
                  <c:v>-0.434183305172331</c:v>
                </c:pt>
                <c:pt idx="12" formatCode="0.0%">
                  <c:v>-0.16894940237340556</c:v>
                </c:pt>
                <c:pt idx="13" formatCode="0.0%">
                  <c:v>-0.23029174425822471</c:v>
                </c:pt>
                <c:pt idx="14">
                  <c:v>0</c:v>
                </c:pt>
                <c:pt idx="15" formatCode="0.0%">
                  <c:v>-4.4688289158177658E-2</c:v>
                </c:pt>
                <c:pt idx="16" formatCode="0.0%">
                  <c:v>-0.25679634456557604</c:v>
                </c:pt>
                <c:pt idx="17">
                  <c:v>0</c:v>
                </c:pt>
                <c:pt idx="18" formatCode="0.0%">
                  <c:v>-0.25839981403998141</c:v>
                </c:pt>
                <c:pt idx="19" formatCode="0.0%">
                  <c:v>-0.3</c:v>
                </c:pt>
                <c:pt idx="20" formatCode="0.0%">
                  <c:v>-0.18002980625931445</c:v>
                </c:pt>
              </c:numCache>
            </c:numRef>
          </c:val>
          <c:extLst>
            <c:ext xmlns:c16="http://schemas.microsoft.com/office/drawing/2014/chart" uri="{C3380CC4-5D6E-409C-BE32-E72D297353CC}">
              <c16:uniqueId val="{00000006-3F67-4C06-BC1B-BC8A44C2478B}"/>
            </c:ext>
          </c:extLst>
        </c:ser>
        <c:dLbls>
          <c:showLegendKey val="0"/>
          <c:showVal val="0"/>
          <c:showCatName val="0"/>
          <c:showSerName val="0"/>
          <c:showPercent val="0"/>
          <c:showBubbleSize val="0"/>
        </c:dLbls>
        <c:gapWidth val="150"/>
        <c:overlap val="100"/>
        <c:axId val="1781627400"/>
        <c:axId val="1781629448"/>
      </c:barChart>
      <c:catAx>
        <c:axId val="1781627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1629448"/>
        <c:crosses val="autoZero"/>
        <c:auto val="1"/>
        <c:lblAlgn val="ctr"/>
        <c:lblOffset val="100"/>
        <c:noMultiLvlLbl val="0"/>
      </c:catAx>
      <c:valAx>
        <c:axId val="1781629448"/>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16274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28575</xdr:colOff>
      <xdr:row>5</xdr:row>
      <xdr:rowOff>19050</xdr:rowOff>
    </xdr:from>
    <xdr:to>
      <xdr:col>26</xdr:col>
      <xdr:colOff>95250</xdr:colOff>
      <xdr:row>26</xdr:row>
      <xdr:rowOff>171450</xdr:rowOff>
    </xdr:to>
    <xdr:graphicFrame macro="">
      <xdr:nvGraphicFramePr>
        <xdr:cNvPr id="9" name="Диаграмма 8">
          <a:extLst>
            <a:ext uri="{FF2B5EF4-FFF2-40B4-BE49-F238E27FC236}">
              <a16:creationId xmlns:a16="http://schemas.microsoft.com/office/drawing/2014/main" id="{63275D81-C6C5-F219-D337-739B8B08A4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Қожабеков Ғани Бахытжанұлы" id="{248DF503-2E10-4C55-B364-FDB32502D78F}" userId="gani.kozhabekov@fcd.kz" providerId="PeoplePicker"/>
  <person displayName="Абильбеков Баглан Жумаханович" id="{C41C22AA-29CD-493D-8989-3A65AA21C437}" userId="baglan.abilbekov@fcd.kz" providerId="PeoplePicker"/>
  <person displayName="Тен Артур Вадимович" id="{28464077-8CB9-4F1B-8C6F-EE24891968E5}" userId="S::artur.ten@fcd.kz::463637ff-30cb-43b2-8a87-8e583a35b28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375030902775" createdVersion="8" refreshedVersion="8" minRefreshableVersion="3" recordCount="55" xr:uid="{933141D8-E6D2-4C31-AC36-90D426C86F6F}">
  <cacheSource type="worksheet">
    <worksheetSource ref="C1:M63" sheet="СВОД"/>
  </cacheSource>
  <cacheFields count="11">
    <cacheField name="Поле1" numFmtId="0">
      <sharedItems containsSemiMixedTypes="0" containsString="0" containsNumber="1" containsInteger="1" minValue="3" maxValue="70"/>
    </cacheField>
    <cacheField name="Поле2" numFmtId="0">
      <sharedItems count="8">
        <s v="Алибек"/>
        <s v="Анвар"/>
        <s v="Артур"/>
        <s v="Баглан"/>
        <s v="Гани"/>
        <s v="Данай"/>
        <s v="Данара"/>
        <s v="Ерсултан"/>
      </sharedItems>
    </cacheField>
    <cacheField name="Поле3" numFmtId="0">
      <sharedItems/>
    </cacheField>
    <cacheField name="Поле4" numFmtId="164">
      <sharedItems containsSemiMixedTypes="0" containsNonDate="0" containsDate="1" containsString="0" minDate="2025-11-01T00:00:00" maxDate="2026-12-16T00:00:00"/>
    </cacheField>
    <cacheField name="Поле5" numFmtId="0">
      <sharedItems/>
    </cacheField>
    <cacheField name="Поле6" numFmtId="165">
      <sharedItems containsSemiMixedTypes="0" containsString="0" containsNumber="1" minValue="5477276.6600000001" maxValue="647625000"/>
    </cacheField>
    <cacheField name="Поле7" numFmtId="0">
      <sharedItems/>
    </cacheField>
    <cacheField name="Поле8" numFmtId="0">
      <sharedItems count="6">
        <s v="Goszakup"/>
        <s v="Самрук-Казына"/>
        <s v="Mitwork"/>
        <s v="PMI"/>
        <s v="Tizilim"/>
        <s v="Предоставление ЗЦП по e-mail"/>
      </sharedItems>
    </cacheField>
    <cacheField name="Поле9" numFmtId="0">
      <sharedItems containsBlank="1" containsMixedTypes="1" containsNumber="1" minValue="164318.29980000001" maxValue="6476250"/>
    </cacheField>
    <cacheField name="Поле10" numFmtId="0">
      <sharedItems containsBlank="1" containsMixedTypes="1" containsNumber="1" minValue="273863.83299999998" maxValue="19428750"/>
    </cacheField>
    <cacheField name="Поле11" numFmtId="0">
      <sharedItems count="10">
        <s v="Подготовить подачу на тендер"/>
        <s v="Из одного источника"/>
        <s v="Получить ОС по ТВ"/>
        <s v="ЦОД должен находится в г. Астана"/>
        <s v="Проект нерентабельный"/>
        <s v="Нет ТВ"/>
        <s v="Подались"/>
        <s v="ИБ"/>
        <s v="Подготовить ТС с заказчиком"/>
        <s v="Подались на второй раунд"/>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n v="66"/>
    <x v="0"/>
    <s v="01.01.2026"/>
    <d v="2026-01-01T00:00:00"/>
    <s v="РЕСПУБЛИКАНСКОЕ ГОСУДАРСТВЕННОЕ УЧРЕЖДЕНИЕ КОМИТЕТ КАЗНАЧЕЙСТВА МИНИСТЕРСТВА ФИНАНСОВ РЕСПУБЛИКИ КАЗАХСТАН"/>
    <n v="134330838"/>
    <s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
    <x v="0"/>
    <n v="1343308.38"/>
    <n v="4029925.14"/>
    <x v="0"/>
  </r>
  <r>
    <n v="42"/>
    <x v="0"/>
    <s v="01.12.2025"/>
    <d v="2025-12-01T00:00:00"/>
    <s v="ФИЛИАЛ ЧАСТНОЙ КОМПАНИИ С ОГРАНИЧЕННОЙ ОТВЕТСТВЕННОСТЬЮ КМГ КАШАГАН Б.В. В РЕСПУБЛИКЕ КАЗАХСТАН"/>
    <n v="80400000"/>
    <s v="Услуги по аренде серверных мощностей (IaaS, PaaS)"/>
    <x v="1"/>
    <n v="804000"/>
    <n v="2412000"/>
    <x v="1"/>
  </r>
  <r>
    <n v="52"/>
    <x v="0"/>
    <s v="01.01.2026"/>
    <d v="2026-01-01T00:00:00"/>
    <s v="РЕСПУБЛИКАНСКОЕ ГОСУДАРСТВЕННОЕ УЧРЕЖДЕНИЕ КОМИТЕТ КАЗНАЧЕЙСТВА МИНИСТЕРСТВА ФИНАНСОВ РЕСПУБЛИКИ КАЗАХСТАН"/>
    <n v="349766928.56999999"/>
    <s v="Услуги облачного сервиса"/>
    <x v="0"/>
    <n v="3497669.2856999999"/>
    <n v="10493007.857100001"/>
    <x v="1"/>
  </r>
  <r>
    <n v="39"/>
    <x v="0"/>
    <s v="01.01.2026"/>
    <d v="2026-01-01T00:00:00"/>
    <s v="АКЦИОНЕРНОЕ ОБЩЕСТВО КАЗАГРОФИНАНС"/>
    <n v="143729000"/>
    <s v="Услуги облачного сервиса"/>
    <x v="2"/>
    <n v="1437290"/>
    <n v="4311870"/>
    <x v="0"/>
  </r>
  <r>
    <n v="20"/>
    <x v="0"/>
    <s v="01.01.2026"/>
    <d v="2026-01-01T00:00:00"/>
    <s v="РЕСПУБЛИКАНСКОЕ ГОСУДАРСТВЕННОЕ УЧРЕЖДЕНИЕ КОМИТЕТ КАЗНАЧЕЙСТВА МИНИСТЕРСТВА ФИНАНСОВ РЕСПУБЛИКИ КАЗАХСТАН"/>
    <n v="126027664.29000001"/>
    <s v="Услуги облачного сервиса"/>
    <x v="0"/>
    <n v="1300000"/>
    <s v="3-5% от стоимости договора"/>
    <x v="1"/>
  </r>
  <r>
    <n v="28"/>
    <x v="0"/>
    <s v="02.02.2026"/>
    <d v="2026-02-02T00:00:00"/>
    <s v="АКЦИОНЕРНОЕ ОБЩЕСТВО НАЦИОНАЛЬНАЯ КОМПАНИЯ КАЗМУНАЙГАЗ"/>
    <n v="59013360"/>
    <s v="Услуги по аренде серверного оборудования"/>
    <x v="1"/>
    <n v="590133.6"/>
    <n v="1770400.8"/>
    <x v="1"/>
  </r>
  <r>
    <n v="36"/>
    <x v="0"/>
    <s v="02.02.2026"/>
    <d v="2026-02-02T00:00:00"/>
    <s v="ТОВАРИЩЕСТВО С ОГРАНИЧЕННОЙ ОТВЕТСТВЕННОСТЬЮ КАЗМУНАЙГАЗ-АЭРО"/>
    <n v="15534750"/>
    <s v="Услуги по аренде виртуального выделенного сервера (VPS)"/>
    <x v="1"/>
    <n v="466042.5"/>
    <n v="776737.5"/>
    <x v="0"/>
  </r>
  <r>
    <n v="24"/>
    <x v="0"/>
    <s v="15.12.2026"/>
    <d v="2026-12-15T00:00:00"/>
    <s v="АКЦИОНЕРНОЕ ОБЩЕСТВО ҚАЗТЕМІРТРАНС"/>
    <n v="137463158.53999999"/>
    <s v="Услуги по предоставлению вычислительных мощностей для физического размещения информации на сервере, постоянно находящемся в сети Интернет"/>
    <x v="1"/>
    <n v="1400001"/>
    <n v="4123894.7562000002"/>
    <x v="1"/>
  </r>
  <r>
    <n v="16"/>
    <x v="0"/>
    <s v="01.12.2025"/>
    <d v="2025-12-01T00:00:00"/>
    <s v="АО &quot;Пассажирские перевозки&quot;"/>
    <n v="128052000"/>
    <s v="Услуги по предоставлению вычислительных мощностей для физического размещения информации на сервере, постоянно находящемся в сети Интернет"/>
    <x v="1"/>
    <n v="1300000"/>
    <s v="3-5% от стоимости договора"/>
    <x v="1"/>
  </r>
  <r>
    <n v="25"/>
    <x v="0"/>
    <s v="30.12.2025"/>
    <d v="2025-12-30T00:00:00"/>
    <s v="АКЦИОНЕРНОЕ ОБЩЕСТВО КЕДЕНТРАНССЕРВИС"/>
    <n v="93749648"/>
    <s v="Услуги по предоставлению вычислительных мощностей для физического размещения информации на сервере, постоянно находящемся в сети Интернет"/>
    <x v="2"/>
    <n v="937496.48"/>
    <n v="2812489.44"/>
    <x v="1"/>
  </r>
  <r>
    <n v="50"/>
    <x v="0"/>
    <s v="01.02.2026"/>
    <d v="2026-02-01T00:00:00"/>
    <s v="АКЦИОНЕРНОЕ ОБЩЕСТВО АВИАЦИОННАЯ АДМИНИСТРАЦИЯ КАЗАХСТАНА"/>
    <n v="37703571.43"/>
    <s v="Услуги облачного сервиса"/>
    <x v="0"/>
    <n v="1131107.1429000001"/>
    <n v="1885178.5715000001"/>
    <x v="2"/>
  </r>
  <r>
    <n v="43"/>
    <x v="0"/>
    <s v="01.02.2026"/>
    <d v="2026-02-01T00:00:00"/>
    <s v="АКЦИОНЕРНОЕ ОБЩЕСТВО ЦЕНТР РАЗВИТИЯ ТРУДОВЫХ РЕСУРСОВ"/>
    <n v="23334838.800000001"/>
    <s v="Услуги по аренде стоико-мест"/>
    <x v="0"/>
    <n v="700045.16399999999"/>
    <n v="1166741.94"/>
    <x v="0"/>
  </r>
  <r>
    <n v="34"/>
    <x v="0"/>
    <s v="02.02.2026"/>
    <d v="2026-02-02T00:00:00"/>
    <s v="АКЦИОНЕРНОЕ ОБЩЕСТВО ЦЕНТР РАЗВИТИЯ ТРУДОВЫХ РЕСУРСОВ"/>
    <n v="19338159.359999999"/>
    <s v="Услуги облачного сервиса"/>
    <x v="0"/>
    <n v="580144.78079999995"/>
    <n v="966907.96799999999"/>
    <x v="2"/>
  </r>
  <r>
    <n v="14"/>
    <x v="1"/>
    <s v="25.12.2025"/>
    <d v="2025-12-25T00:00:00"/>
    <s v=" &quot;НАЦИОНАЛЬНЫЙ УПРАВЛЯЮЩИЙ ХОЛДИНГ &quot;БАЙТЕРЕК&quot;"/>
    <n v="70609013.280000001"/>
    <s v="Аренда серверных мощностей"/>
    <x v="2"/>
    <n v="706090.13280000002"/>
    <n v="2118270.3983999998"/>
    <x v="3"/>
  </r>
  <r>
    <n v="17"/>
    <x v="1"/>
    <s v="25.12.2025"/>
    <d v="2025-12-25T00:00:00"/>
    <s v="&quot;НАЦИОНАЛЬНЫЙ УПРАВЛЯЮЩИЙ ХОЛДИНГ &quot;БАЙТЕРЕК&quot;"/>
    <n v="18000000"/>
    <s v="Аренда серверных мощностей"/>
    <x v="2"/>
    <n v="540000"/>
    <s v="3-5% от стоимости договора"/>
    <x v="3"/>
  </r>
  <r>
    <n v="32"/>
    <x v="1"/>
    <s v="01.01.2026"/>
    <d v="2026-01-01T00:00:00"/>
    <s v="АКЦИОНЕРНОЕ ОБЩЕСТВО КАЗПОЧТА"/>
    <n v="25000000"/>
    <s v="Услуги облачного сервиса"/>
    <x v="1"/>
    <n v="250000"/>
    <n v="750000"/>
    <x v="0"/>
  </r>
  <r>
    <n v="49"/>
    <x v="1"/>
    <s v="01.02.2026"/>
    <d v="2026-02-01T00:00:00"/>
    <s v="АО КАЗПОЧТА"/>
    <n v="127000000"/>
    <s v="Услуги по планированию последней мили"/>
    <x v="1"/>
    <n v="1270000"/>
    <n v="3810000"/>
    <x v="0"/>
  </r>
  <r>
    <n v="46"/>
    <x v="0"/>
    <s v="01.01.2026"/>
    <d v="2026-01-01T00:00:00"/>
    <s v="ГОСУДАРСТВЕННОЕ УЧРЕЖДЕНИЕ УПРАВЛЕНИЕ ЦИФРОВИЗАЦИИ И АРХИВОВ АТЫРАУСКОЙ ОБЛАСТИ"/>
    <n v="8657142.8599999994"/>
    <s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
    <x v="0"/>
    <n v="259714.28580000001"/>
    <n v="432857.14299999998"/>
    <x v="2"/>
  </r>
  <r>
    <n v="8"/>
    <x v="2"/>
    <s v="06.01.2026"/>
    <d v="2026-01-06T00:00:00"/>
    <s v="АО &quot;ФОНД РАЗВИТИЯ ПРЕДПРИНИМАТЕЛЬСТВА &quot;ДАМУ&quot;"/>
    <n v="130000000"/>
    <s v="Услуги облачного сервиса"/>
    <x v="2"/>
    <n v="1300000"/>
    <s v="3-5% от стоимости договора"/>
    <x v="4"/>
  </r>
  <r>
    <n v="15"/>
    <x v="0"/>
    <s v="30.01.2026"/>
    <d v="2026-01-30T00:00:00"/>
    <s v="&quot;Жасыл даму&quot;"/>
    <n v="35000000"/>
    <s v="Услуги аренды сервернерной инфраструктуры"/>
    <x v="0"/>
    <n v="350000"/>
    <n v="1050000"/>
    <x v="2"/>
  </r>
  <r>
    <n v="9"/>
    <x v="0"/>
    <s v="20.12.2025"/>
    <d v="2025-12-20T00:00:00"/>
    <s v="&quot;Тау-Кен Самрук&quot;"/>
    <n v="35000000"/>
    <s v="Услуги облачного сервиса"/>
    <x v="1"/>
    <n v="1200000"/>
    <s v="3-5% от стоимости договора"/>
    <x v="1"/>
  </r>
  <r>
    <n v="7"/>
    <x v="3"/>
    <s v="01.01.2026"/>
    <d v="2026-01-01T00:00:00"/>
    <s v="АО &quot;Информационно-учетный центр&quot;"/>
    <n v="20000000"/>
    <s v="Услуги облачного сервиса"/>
    <x v="0"/>
    <n v="600000"/>
    <s v="3-5% от стоимости договора"/>
    <x v="5"/>
  </r>
  <r>
    <n v="59"/>
    <x v="3"/>
    <s v="03.01.2026"/>
    <d v="2026-01-03T00:00:00"/>
    <s v="АКЦИОНЕРНОЕ ОБЩЕСТВО ИНФОРМАЦИОННО-УЧЕТНЫЙ ЦЕНТР"/>
    <n v="13000000"/>
    <s v="Услуги по аренде серверного оборудования"/>
    <x v="0"/>
    <n v="390000"/>
    <n v="650000"/>
    <x v="5"/>
  </r>
  <r>
    <n v="33"/>
    <x v="3"/>
    <s v="20.01.2026"/>
    <d v="2026-01-20T00:00:00"/>
    <s v="АКЦИОНЕРНОЕ ОБЩЕСТВО ИНФОРМАЦИОННО-УЧЕТНЫЙ ЦЕНТР"/>
    <n v="19900000"/>
    <s v="Услуги по аренде серверного оборудования"/>
    <x v="0"/>
    <n v="597000"/>
    <n v="995000"/>
    <x v="5"/>
  </r>
  <r>
    <n v="44"/>
    <x v="3"/>
    <s v="01.02.2026"/>
    <d v="2026-02-01T00:00:00"/>
    <s v="ГОСУДАРСТВЕННОЕ УЧРЕЖДЕНИЕ ОТДЕЛ ЭКОНОМИКИ И ФИНАНСОВ АБАЙСКОГО РАЙОНА"/>
    <n v="25884821.43"/>
    <s v="Услуги по аренде виртуального выделенного сервера (VPS)"/>
    <x v="0"/>
    <n v="776544.64289999998"/>
    <n v="1294241.0715000001"/>
    <x v="5"/>
  </r>
  <r>
    <n v="58"/>
    <x v="3"/>
    <s v="01.02.2026"/>
    <d v="2026-02-01T00:00:00"/>
    <s v="ГОСУДАРСТВЕННОЕ УЧРЕЖДЕНИЕ ОТДЕЛ ГОСУДАРСТВЕННЫХ АКТИВОВ И ЗАКУПОК ГОРОДА КАРАГАНДЫ"/>
    <n v="6453000"/>
    <s v="Услуги по аренде виртуального выделенного сервера (VPS)"/>
    <x v="0"/>
    <n v="193590"/>
    <n v="322650"/>
    <x v="5"/>
  </r>
  <r>
    <n v="27"/>
    <x v="4"/>
    <s v="01.01.2026"/>
    <d v="2026-01-01T00:00:00"/>
    <s v="ТОВАРИЩЕСТВО С ОГРАНИЧЕННОЙ ОТВЕТСТВЕННОСТЬЮ ЭКИБАСТУЗСКАЯ ГРЭС-1 ИМЕНИ БУЛАТА НУРЖАНОВА"/>
    <n v="67896030.219999999"/>
    <s v="Услуги по аренде серверного оборудования"/>
    <x v="1"/>
    <n v="678960.30220000003"/>
    <n v="2036880.9066000001"/>
    <x v="0"/>
  </r>
  <r>
    <n v="19"/>
    <x v="4"/>
    <s v="01.01.2026"/>
    <d v="2026-01-01T00:00:00"/>
    <s v="&quot;ФОНД РАЗВИТИЯ ПРЕДПРИНИМАТЕЛЬСТВА &quot;ДАМУ&quot;"/>
    <n v="26368400"/>
    <s v="Услуги по обеспечению информационной безопасности"/>
    <x v="2"/>
    <m/>
    <m/>
    <x v="0"/>
  </r>
  <r>
    <n v="64"/>
    <x v="4"/>
    <s v="29.01.2026"/>
    <d v="2026-01-29T00:00:00"/>
    <s v="ГОСУДАРСТВЕННОЕ УЧРЕЖДЕНИЕ МИНИСТЕРСТВО СЕЛЬСКОГО ХОЗЯЙСТВА РЕСПУБЛИКИ КАЗАХСТАН"/>
    <n v="36420535.710000001"/>
    <s v="Услуги по обеспечению информационной безопасности"/>
    <x v="0"/>
    <n v="1092616.0713"/>
    <n v="1821026.7855"/>
    <x v="0"/>
  </r>
  <r>
    <n v="48"/>
    <x v="4"/>
    <s v="01.11.2025"/>
    <d v="2025-11-01T00:00:00"/>
    <s v="Phillip Morris"/>
    <n v="52000000"/>
    <s v="Услуги по предоставлению облачного сервиса (Хостинг)"/>
    <x v="3"/>
    <s v="-"/>
    <s v="-"/>
    <x v="6"/>
  </r>
  <r>
    <n v="40"/>
    <x v="4"/>
    <s v="01.01.2026"/>
    <d v="2026-01-01T00:00:00"/>
    <s v="АКЦИОНЕРНОЕ ОБЩЕСТВО НАЦИОНАЛЬНЫЕ ИНФОРМАЦИОННЫЕ ТЕХНОЛОГИИ"/>
    <n v="647625000"/>
    <s v="Услуги по аренде серверного оборудования"/>
    <x v="2"/>
    <n v="6476250"/>
    <n v="19428750"/>
    <x v="0"/>
  </r>
  <r>
    <n v="37"/>
    <x v="4"/>
    <s v="01.01.2026"/>
    <d v="2026-01-01T00:00:00"/>
    <s v="ТОО &quot;Корпорация Казахмыс&quot;"/>
    <n v="183650000"/>
    <s v="Услуги по предоставлению вычислительных ресурсов"/>
    <x v="4"/>
    <n v="1836500"/>
    <n v="5509500"/>
    <x v="0"/>
  </r>
  <r>
    <n v="51"/>
    <x v="4"/>
    <s v="01.01.2026"/>
    <d v="2026-01-01T00:00:00"/>
    <s v="АКЦИОНЕРНОЕ ОБЩЕСТВО «НАЦИОНАЛЬНАЯ ГОРНОРУДНАЯ КОМПАНИЯ «TAУ-KEН САМРУК»"/>
    <n v="5477276.6600000001"/>
    <s v="Услуги облачного сервиса"/>
    <x v="0"/>
    <n v="164318.29980000001"/>
    <n v="273863.83299999998"/>
    <x v="0"/>
  </r>
  <r>
    <n v="53"/>
    <x v="4"/>
    <s v="15.01.2026"/>
    <d v="2026-01-15T00:00:00"/>
    <s v="АКЦИОНЕРНОЕ ОБЩЕСТВО АКТОБЕ ТЭЦ"/>
    <n v="66000000"/>
    <s v="Услуга подключения к ОЦИБ"/>
    <x v="0"/>
    <n v="660000"/>
    <n v="1980000"/>
    <x v="7"/>
  </r>
  <r>
    <n v="61"/>
    <x v="4"/>
    <s v="15.01.2026"/>
    <d v="2026-01-15T00:00:00"/>
    <s v="КОММУНАЛЬНОЕ ГОСУДАРСТВЕННОЕ УЧРЕЖДЕНИЕ ОТДЕЛ ГОСУДАРСТВЕННЫХ ЗАКУПОК АКИМАТА ГОРОДА ТАРАЗ"/>
    <n v="22057056.73"/>
    <s v="Услуги по обеспечению информационной безопасности"/>
    <x v="0"/>
    <n v="661711.70189999999"/>
    <n v="1102852.8365"/>
    <x v="7"/>
  </r>
  <r>
    <n v="57"/>
    <x v="4"/>
    <s v="15.01.2026"/>
    <d v="2026-01-15T00:00:00"/>
    <s v="АКЦИОНЕРНОЕ ОБЩЕСТВО ШАЛКИЯЦИНК ЛТД"/>
    <n v="18437496.43"/>
    <s v="Услуги по обеспечению информационной безопасности"/>
    <x v="1"/>
    <n v="553124.89289999998"/>
    <n v="921874.82149999996"/>
    <x v="7"/>
  </r>
  <r>
    <n v="54"/>
    <x v="4"/>
    <s v="15.01.2026"/>
    <d v="2026-01-15T00:00:00"/>
    <s v="ГОСУДАРСТВЕННОЕ УЧРЕЖДЕНИЕ УПРАВЛЕНИЕ ЦИФРОВИЗАЦИИ И АРХИВОВ АТЫРАУСКОЙ ОБЛАСТИ"/>
    <n v="8539285.7100000009"/>
    <s v="Услуги по обеспечению информационной безопасности Услуги по обеспечению информационной безопасности"/>
    <x v="0"/>
    <n v="256178.57130000001"/>
    <n v="426964.2855"/>
    <x v="7"/>
  </r>
  <r>
    <n v="56"/>
    <x v="4"/>
    <s v="21.01.2026"/>
    <d v="2026-01-21T00:00:00"/>
    <s v="АКЦИОНЕРНОЕ ОБЩЕСТВО НАЦИОНАЛЬНЫЙ ЦЕНТР ГОСУДАРСТВЕННОЙ НАУЧНО-ТЕХНИЧЕСКОЙ ЭКСПЕРТИЗЫ"/>
    <n v="29464285.710000001"/>
    <s v="Услуги по обеспечению информационной безопасности"/>
    <x v="0"/>
    <n v="883928.57129999995"/>
    <n v="1473214.2855"/>
    <x v="7"/>
  </r>
  <r>
    <n v="55"/>
    <x v="4"/>
    <s v="21.01.2026"/>
    <d v="2026-01-21T00:00:00"/>
    <s v="ГОСУДАРСТВЕННОЕ УЧРЕЖДЕНИЕ УПРАВЛЕНИЕ ПО ГОСУДАРСТВЕННЫМ ЗАКУПКАМ И КОММУНАЛЬНОЙ СОБСТВЕННОСТИ АТЫРАУСКОЙ ОБЛАСТИ"/>
    <n v="17501786"/>
    <s v="Услуги по обеспечению информационной безопасности"/>
    <x v="0"/>
    <n v="525053.57999999996"/>
    <n v="875089.3"/>
    <x v="7"/>
  </r>
  <r>
    <n v="60"/>
    <x v="4"/>
    <s v="02.02.2026"/>
    <d v="2026-02-02T00:00:00"/>
    <s v="РЕСПУБЛИКАНСКОЕ ГОСУДАРСТВЕННОЕ УЧРЕЖДЕНИЕ КОМИТЕТ КАЗНАЧЕЙСТВА МИНИСТЕРСТВА ФИНАНСОВ РЕСПУБЛИКИ КАЗАХСТАН"/>
    <n v="140357142.86000001"/>
    <s v="Услуги по обеспечению информационной безопасности"/>
    <x v="0"/>
    <n v="1403571.4286"/>
    <n v="4210714.2857999997"/>
    <x v="7"/>
  </r>
  <r>
    <n v="65"/>
    <x v="4"/>
    <s v="15.02.2026"/>
    <d v="2026-02-15T00:00:00"/>
    <s v="РЕСПУБЛИКАНСКОЕ ГОСУДАРСТВЕННОЕ УЧРЕЖДЕНИЕ КОМИТЕТ КАЗНАЧЕЙСТВА МИНИСТЕРСТВА ФИНАНСОВ РЕСПУБЛИКИ КАЗАХСТАН"/>
    <n v="81400000"/>
    <s v="Услуги по обеспечению информационной безопасности"/>
    <x v="0"/>
    <n v="2442000"/>
    <n v="4070000"/>
    <x v="7"/>
  </r>
  <r>
    <n v="62"/>
    <x v="4"/>
    <s v="20.02.2026"/>
    <d v="2026-02-20T00:00:00"/>
    <s v="ТОВАРИЩЕСТВО С ОГРАНИЧЕННОЙ ОТВЕТСТВЕННОСТЬЮ КТЖ-ГРУЗОВЫЕ ПЕРЕВОЗКИ"/>
    <n v="242745534.19999999"/>
    <s v="Услуги по обеспечению информационной безопасности"/>
    <x v="0"/>
    <n v="2427455.3420000002"/>
    <n v="7282366.0259999996"/>
    <x v="7"/>
  </r>
  <r>
    <n v="47"/>
    <x v="4"/>
    <s v="01.03.2026"/>
    <d v="2026-03-01T00:00:00"/>
    <s v="Улттык Геологиялык Кызмет"/>
    <n v="69053000"/>
    <s v="Услуги по предоставлению вычислительных мощностей "/>
    <x v="0"/>
    <n v="690530"/>
    <n v="2071590"/>
    <x v="8"/>
  </r>
  <r>
    <n v="31"/>
    <x v="5"/>
    <s v="01.01.2026"/>
    <d v="2026-01-01T00:00:00"/>
    <s v="АВТОНОМНЫЙ КЛАСТЕРНЫЙ ФОНД ПАРК ИННОВАЦИОННЫХ ТЕХНОЛОГИЙ"/>
    <n v="33063600"/>
    <s v="  Услуги виртуального сервера (VPS) по модели IaaS"/>
    <x v="2"/>
    <n v="330636"/>
    <n v="991908"/>
    <x v="8"/>
  </r>
  <r>
    <n v="30"/>
    <x v="6"/>
    <s v="08.01.2026"/>
    <d v="2026-01-08T00:00:00"/>
    <s v="АКЦИОНЕРНОЕ ОБЩЕСТВО НАЦИОНАЛЬНЫЙ ЦЕНТР ПОВЫШЕНИЯ КВАЛИФИКАЦИИ ӨРЛЕУ"/>
    <n v="36375362"/>
    <s v="Услуги по аренде виртуального выделенного сервера (VPS) Услуги по аренде виртуального выделенного сервера (VPS)"/>
    <x v="0"/>
    <n v="363753.62"/>
    <n v="1091260.8600000001"/>
    <x v="2"/>
  </r>
  <r>
    <n v="13"/>
    <x v="4"/>
    <s v="01.12.2025"/>
    <d v="2025-12-01T00:00:00"/>
    <s v="&quot;ФОНД РАЗВИТИЯ ПРОМЫШЛЕННОСТИ&quot;"/>
    <n v="80000000"/>
    <s v="Услуги по обеспечению информационной безопасности"/>
    <x v="2"/>
    <n v="800000"/>
    <n v="2400000"/>
    <x v="7"/>
  </r>
  <r>
    <n v="35"/>
    <x v="6"/>
    <s v="01.01.2026"/>
    <d v="2026-01-01T00:00:00"/>
    <s v="АКЦИОНЕРНОЕ ОБЩЕСТВО АГРАРНАЯ КРЕДИТНАЯ КОРПОРАЦИЯ"/>
    <n v="17023809.52"/>
    <s v="Услуги по предоставлению вычислительных мощностей для физического размещения информации на сервере, постоянно находящемся в сети Интернет"/>
    <x v="2"/>
    <n v="510714.2856"/>
    <n v="851190.47600000002"/>
    <x v="5"/>
  </r>
  <r>
    <n v="63"/>
    <x v="6"/>
    <s v="01.01.2026"/>
    <d v="2026-01-01T00:00:00"/>
    <s v="АКЦИОНЕРНОЕ ОБЩЕСТВО АГРАРНАЯ КРЕДИТНАЯ КОРПОРАЦИЯ"/>
    <n v="12767857.140000001"/>
    <s v="Услуги по предоставлению вычислительных мощностей для физического размещения информации на сервере, постоянно находящемся в сети Интернет"/>
    <x v="2"/>
    <n v="383035.71419999999"/>
    <n v="638392.85699999996"/>
    <x v="5"/>
  </r>
  <r>
    <n v="38"/>
    <x v="6"/>
    <s v="05.01.2026"/>
    <d v="2026-01-05T00:00:00"/>
    <s v="НЕКОММЕРЧЕСКОЕ АКЦИОНЕРНОЕ ОБЩЕСТВО «ИНФОРМАЦИОННО-АНАЛИТИЧЕСКИЙ ЦЕНТР ВОДНЫХ РЕСУРСОВ»"/>
    <n v="15000000"/>
    <s v="Услуги по аренде виртуального выделенного сервера (VPS) Услуги по аренде виртуального выделенного сервера (VPS)"/>
    <x v="0"/>
    <n v="450000"/>
    <n v="750000"/>
    <x v="0"/>
  </r>
  <r>
    <n v="68"/>
    <x v="6"/>
    <s v="15.02.2026"/>
    <d v="2026-02-15T00:00:00"/>
    <s v="АКЦИОНЕРНОЕ ОБЩЕСТВО ЦЕНТРАЛЬНЫЙ ДЕПОЗИТАРИЙ ЦЕННЫХ БУМАГ"/>
    <n v="33012276.789999999"/>
    <s v="Сервер"/>
    <x v="1"/>
    <n v="990368.30370000005"/>
    <n v="1650613.8395"/>
    <x v="5"/>
  </r>
  <r>
    <n v="3"/>
    <x v="7"/>
    <s v="01.11.2025"/>
    <d v="2025-11-01T00:00:00"/>
    <s v="Dunga"/>
    <n v="100000000"/>
    <s v="Услуги по предоставлению выделенного сервера "/>
    <x v="5"/>
    <s v="-"/>
    <s v="-"/>
    <x v="9"/>
  </r>
  <r>
    <n v="41"/>
    <x v="7"/>
    <s v="30.12.2025"/>
    <d v="2025-12-30T00:00:00"/>
    <s v="ГОСУДАРСТВЕННОЕ УЧРЕЖДЕНИЕ УПРАВЛЕНИЕ ФИНАНСОВ И ГОСУДАРСТВЕННЫХ АКТИВОВ КАРАГАНДИНСКОЙ ОБЛАСТИ"/>
    <n v="371885844.33999997"/>
    <s v="Услуги облачного сервиса"/>
    <x v="0"/>
    <n v="3718858.4434000002"/>
    <n v="11156575.3302"/>
    <x v="5"/>
  </r>
  <r>
    <n v="70"/>
    <x v="7"/>
    <s v="03.01.2026"/>
    <d v="2026-01-03T00:00:00"/>
    <s v="РГП НА ПХВ НАЦИОНАЛЬНЫЙ ЦЕНТР ТЕСТИРОВАНИЯ"/>
    <n v="21600000"/>
    <s v="Услуги по обеспечению информационной безопасности"/>
    <x v="0"/>
    <n v="648000"/>
    <n v="1080000"/>
    <x v="7"/>
  </r>
  <r>
    <n v="12"/>
    <x v="7"/>
    <s v="10.01.2026"/>
    <d v="2026-01-10T00:00:00"/>
    <s v="Фонд социального медицинского страхования"/>
    <n v="470000000"/>
    <s v="Аренда серверных ресурсов"/>
    <x v="0"/>
    <n v="4700000"/>
    <s v="3-5% от стоимости договора"/>
    <x v="5"/>
  </r>
  <r>
    <n v="67"/>
    <x v="7"/>
    <s v="29.01.2026"/>
    <d v="2026-01-29T00:00:00"/>
    <s v="АКЦИОНЕРНОЕ ОБЩЕСТВО СИТУАЦИОННО-АНАЛИТИЧЕСКИЙ ЦЕНТР ТОПЛИВНО-ЭНЕРГЕТИЧЕСКОГО КОМПЛЕКСА РЕСПУБЛИКИ КАЗАХСТАН"/>
    <n v="15500000"/>
    <s v="Услуги по обеспечению информационной безопасности"/>
    <x v="0"/>
    <n v="465000"/>
    <n v="775000"/>
    <x v="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637D20A-6A53-4513-BB87-B519D1A7942A}" name="Сводная таблица1" cacheId="415" applyNumberFormats="0" applyBorderFormats="0" applyFontFormats="0" applyPatternFormats="0" applyAlignmentFormats="0" applyWidthHeightFormats="1" dataCaption="Значения" updatedVersion="8" minRefreshableVersion="3" useAutoFormatting="1" itemPrintTitles="1" createdVersion="8" indent="0" compact="0" compactData="0" multipleFieldFilters="0">
  <location ref="A2:B13" firstHeaderRow="1" firstDataRow="1" firstDataCol="1"/>
  <pivotFields count="11">
    <pivotField compact="0" outline="0" showAll="0"/>
    <pivotField compact="0" outline="0" showAll="0">
      <items count="9">
        <item x="0"/>
        <item x="1"/>
        <item x="2"/>
        <item x="3"/>
        <item x="4"/>
        <item x="5"/>
        <item x="6"/>
        <item x="7"/>
        <item t="default"/>
      </items>
    </pivotField>
    <pivotField compact="0" outline="0" showAll="0"/>
    <pivotField compact="0" numFmtId="164" outline="0" showAll="0"/>
    <pivotField compact="0" outline="0" showAll="0"/>
    <pivotField compact="0" numFmtId="165" outline="0" showAll="0"/>
    <pivotField compact="0" outline="0" showAll="0"/>
    <pivotField compact="0" outline="0" showAll="0">
      <items count="7">
        <item x="0"/>
        <item x="2"/>
        <item x="3"/>
        <item x="4"/>
        <item x="5"/>
        <item x="1"/>
        <item t="default"/>
      </items>
    </pivotField>
    <pivotField compact="0" outline="0" showAll="0"/>
    <pivotField compact="0" outline="0" showAll="0"/>
    <pivotField axis="axisRow" dataField="1" compact="0" outline="0" showAll="0">
      <items count="11">
        <item x="7"/>
        <item x="1"/>
        <item x="5"/>
        <item x="6"/>
        <item x="9"/>
        <item x="0"/>
        <item x="8"/>
        <item x="2"/>
        <item x="4"/>
        <item x="3"/>
        <item t="default"/>
      </items>
    </pivotField>
  </pivotFields>
  <rowFields count="1">
    <field x="10"/>
  </rowFields>
  <rowItems count="11">
    <i>
      <x/>
    </i>
    <i>
      <x v="1"/>
    </i>
    <i>
      <x v="2"/>
    </i>
    <i>
      <x v="3"/>
    </i>
    <i>
      <x v="4"/>
    </i>
    <i>
      <x v="5"/>
    </i>
    <i>
      <x v="6"/>
    </i>
    <i>
      <x v="7"/>
    </i>
    <i>
      <x v="8"/>
    </i>
    <i>
      <x v="9"/>
    </i>
    <i t="grand">
      <x/>
    </i>
  </rowItems>
  <colItems count="1">
    <i/>
  </colItems>
  <dataFields count="1">
    <dataField name="Количество по полю Поле11" fld="1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U46" dT="2026-02-11T06:14:09.91" personId="{28464077-8CB9-4F1B-8C6F-EE24891968E5}" id="{1A821B68-50C9-450D-98E1-81D8B001C3B3}">
    <text>@Қожабеков Ғани Бахытжанұлы уточнить</text>
    <mentions>
      <mention mentionpersonId="{248DF503-2E10-4C55-B364-FDB32502D78F}" mentionId="{A868E1EC-F6CF-41A4-AFBC-9BC36CF33D88}" startIndex="0" length="27"/>
    </mentions>
  </threadedComment>
  <threadedComment ref="U78" dT="2026-02-11T05:14:33.82" personId="{28464077-8CB9-4F1B-8C6F-EE24891968E5}" id="{36C60636-6F92-46AD-BF96-CC415A8D2FBD}">
    <text xml:space="preserve">@Қожабеков Ғани Бахытжанұлы уточнить у Данары
</text>
    <mentions>
      <mention mentionpersonId="{248DF503-2E10-4C55-B364-FDB32502D78F}" mentionId="{92FD4A82-8FEF-4DA1-A1E4-46EA76A50E40}" startIndex="0" length="27"/>
    </mentions>
  </threadedComment>
  <threadedComment ref="U96" dT="2026-02-11T05:48:01.84" personId="{28464077-8CB9-4F1B-8C6F-EE24891968E5}" id="{9CF2DAC3-90AD-4319-AA1F-D427F2316E64}">
    <text xml:space="preserve">@Абильбеков Баглан Жумаханович Уточнить какое ПО
</text>
    <mentions>
      <mention mentionpersonId="{C41C22AA-29CD-493D-8989-3A65AA21C437}" mentionId="{B4F38F03-E2A8-4B1F-B86C-AB0A088D9D65}" startIndex="0" length="30"/>
    </mentions>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freedomholdingcorporation.sharepoint.com/:f:/s/FreedomCloud464/IgC2ycIC1sXSRJFEJb1zEj8EAfS08dzGAsM4qSCaVJbpfvo?e=3qHRjb" TargetMode="External"/><Relationship Id="rId13" Type="http://schemas.openxmlformats.org/officeDocument/2006/relationships/hyperlink" Target="https://www.jti.com/en/our-business/responsible-procurement" TargetMode="External"/><Relationship Id="rId18" Type="http://schemas.openxmlformats.org/officeDocument/2006/relationships/hyperlink" Target="https://tenderplus.kz/zakupki/48646224" TargetMode="External"/><Relationship Id="rId3" Type="http://schemas.openxmlformats.org/officeDocument/2006/relationships/hyperlink" Target="https://tenderplus.kz/zakupki/44548415" TargetMode="External"/><Relationship Id="rId21" Type="http://schemas.openxmlformats.org/officeDocument/2006/relationships/hyperlink" Target="https://tenderplus.kz/zakupki/49130850" TargetMode="External"/><Relationship Id="rId7" Type="http://schemas.openxmlformats.org/officeDocument/2006/relationships/hyperlink" Target="https://datacenters.wildberries.ru/" TargetMode="External"/><Relationship Id="rId12" Type="http://schemas.openxmlformats.org/officeDocument/2006/relationships/hyperlink" Target="https://pgsupplier.com/" TargetMode="External"/><Relationship Id="rId17" Type="http://schemas.openxmlformats.org/officeDocument/2006/relationships/hyperlink" Target="https://tenderplus.kz/zakupki/35623273" TargetMode="External"/><Relationship Id="rId2" Type="http://schemas.openxmlformats.org/officeDocument/2006/relationships/hyperlink" Target="https://tenderplus.kz/zakupki/43205390" TargetMode="External"/><Relationship Id="rId16" Type="http://schemas.openxmlformats.org/officeDocument/2006/relationships/hyperlink" Target="https://tenderplus.kz/zakupki/37969534" TargetMode="External"/><Relationship Id="rId20" Type="http://schemas.openxmlformats.org/officeDocument/2006/relationships/hyperlink" Target="https://tenderplus.kz/zakupki/37671231" TargetMode="External"/><Relationship Id="rId1" Type="http://schemas.openxmlformats.org/officeDocument/2006/relationships/hyperlink" Target="https://tenderplus.kz/zakupki/38333431" TargetMode="External"/><Relationship Id="rId6" Type="http://schemas.openxmlformats.org/officeDocument/2006/relationships/hyperlink" Target="https://tenderplus.kz/zakupki/43384110" TargetMode="External"/><Relationship Id="rId11" Type="http://schemas.openxmlformats.org/officeDocument/2006/relationships/hyperlink" Target="https://www.nestle.com/info/suppliers" TargetMode="External"/><Relationship Id="rId5" Type="http://schemas.openxmlformats.org/officeDocument/2006/relationships/hyperlink" Target="https://tenderplus.kz/zakupki/44610034" TargetMode="External"/><Relationship Id="rId15" Type="http://schemas.openxmlformats.org/officeDocument/2006/relationships/hyperlink" Target="https://tenderplus.kz/zakupki/48244567" TargetMode="External"/><Relationship Id="rId10" Type="http://schemas.openxmlformats.org/officeDocument/2006/relationships/hyperlink" Target="https://www.mondelezinternational.com/procurement/" TargetMode="External"/><Relationship Id="rId19" Type="http://schemas.openxmlformats.org/officeDocument/2006/relationships/hyperlink" Target="https://tenderplus.kz/zakupki/43061257" TargetMode="External"/><Relationship Id="rId4" Type="http://schemas.openxmlformats.org/officeDocument/2006/relationships/hyperlink" Target="https://tenderplus.kz/zakupki/44513902" TargetMode="External"/><Relationship Id="rId9" Type="http://schemas.openxmlformats.org/officeDocument/2006/relationships/hyperlink" Target="https://supplier.mars.com/" TargetMode="External"/><Relationship Id="rId14" Type="http://schemas.openxmlformats.org/officeDocument/2006/relationships/hyperlink" Target="https://www.bat.com/contact-us"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tenderplus.kz/zakupki/44105556" TargetMode="External"/><Relationship Id="rId18" Type="http://schemas.openxmlformats.org/officeDocument/2006/relationships/hyperlink" Target="https://tenderplus.kz/zakupki/44963334" TargetMode="External"/><Relationship Id="rId26" Type="http://schemas.openxmlformats.org/officeDocument/2006/relationships/hyperlink" Target="https://tenderplus.kz/zakupki/43354371" TargetMode="External"/><Relationship Id="rId39" Type="http://schemas.openxmlformats.org/officeDocument/2006/relationships/hyperlink" Target="https://tenderplus.kz/zakupki/48797797" TargetMode="External"/><Relationship Id="rId21" Type="http://schemas.openxmlformats.org/officeDocument/2006/relationships/hyperlink" Target="https://tenderplus.kz/zakupki/43715988" TargetMode="External"/><Relationship Id="rId34" Type="http://schemas.openxmlformats.org/officeDocument/2006/relationships/hyperlink" Target="https://tenderplus.kz/zakupki/46172277" TargetMode="External"/><Relationship Id="rId42" Type="http://schemas.openxmlformats.org/officeDocument/2006/relationships/hyperlink" Target="https://tenderplus.kz/zakupki/48769223" TargetMode="External"/><Relationship Id="rId47" Type="http://schemas.openxmlformats.org/officeDocument/2006/relationships/hyperlink" Target="https://tenderplus.kz/zakupki/49219182" TargetMode="External"/><Relationship Id="rId50" Type="http://schemas.openxmlformats.org/officeDocument/2006/relationships/hyperlink" Target="https://tenderplus.kz/zakupki/48769224%20%20%20%20https:/tenderplus.kz/zakupki/48672741%20%20https:/tenderplus.kz/zakupki/48672771%20%20https:/tenderplus.kz/zakupki/48602348%20%20https:/tenderplus.kz/zakupki/48602347" TargetMode="External"/><Relationship Id="rId7" Type="http://schemas.openxmlformats.org/officeDocument/2006/relationships/hyperlink" Target="https://tenderplus.kz/zakupki/43002427" TargetMode="External"/><Relationship Id="rId2" Type="http://schemas.openxmlformats.org/officeDocument/2006/relationships/hyperlink" Target="https://tenderplus.kz/zakupki/46060160" TargetMode="External"/><Relationship Id="rId16" Type="http://schemas.openxmlformats.org/officeDocument/2006/relationships/hyperlink" Target="https://tenderplus.kz/zakupki/43209277" TargetMode="External"/><Relationship Id="rId29" Type="http://schemas.openxmlformats.org/officeDocument/2006/relationships/hyperlink" Target="https://tenderplus.kz/zakupki/43205390" TargetMode="External"/><Relationship Id="rId11" Type="http://schemas.openxmlformats.org/officeDocument/2006/relationships/hyperlink" Target="https://tenderplus.kz/zakupki/43384110" TargetMode="External"/><Relationship Id="rId24" Type="http://schemas.openxmlformats.org/officeDocument/2006/relationships/hyperlink" Target="https://zakup.sk.kz/" TargetMode="External"/><Relationship Id="rId32" Type="http://schemas.openxmlformats.org/officeDocument/2006/relationships/hyperlink" Target="https://tenderplus.kz/zakupki/44160103" TargetMode="External"/><Relationship Id="rId37" Type="http://schemas.openxmlformats.org/officeDocument/2006/relationships/hyperlink" Target="https://tenderplus.kz/zakupki/43135680" TargetMode="External"/><Relationship Id="rId40" Type="http://schemas.openxmlformats.org/officeDocument/2006/relationships/hyperlink" Target="https://tenderplus.kz/zakupki/48723211" TargetMode="External"/><Relationship Id="rId45" Type="http://schemas.openxmlformats.org/officeDocument/2006/relationships/hyperlink" Target="https://tenderplus.kz/zakupki/48287331" TargetMode="External"/><Relationship Id="rId53" Type="http://schemas.openxmlformats.org/officeDocument/2006/relationships/comments" Target="../comments1.xml"/><Relationship Id="rId5" Type="http://schemas.openxmlformats.org/officeDocument/2006/relationships/hyperlink" Target="https://tenderplus.kz/zakupki/44513902" TargetMode="External"/><Relationship Id="rId10" Type="http://schemas.openxmlformats.org/officeDocument/2006/relationships/hyperlink" Target="https://tenderplus.kz/zakupki/46081382" TargetMode="External"/><Relationship Id="rId19" Type="http://schemas.openxmlformats.org/officeDocument/2006/relationships/hyperlink" Target="https://tenderplus.kz/zakupki/43082891" TargetMode="External"/><Relationship Id="rId31" Type="http://schemas.openxmlformats.org/officeDocument/2006/relationships/hyperlink" Target="https://tenderplus.kz/zakupki/43536499" TargetMode="External"/><Relationship Id="rId44" Type="http://schemas.openxmlformats.org/officeDocument/2006/relationships/hyperlink" Target="https://tenderplus.kz/zakupki/48703114" TargetMode="External"/><Relationship Id="rId52" Type="http://schemas.openxmlformats.org/officeDocument/2006/relationships/vmlDrawing" Target="../drawings/vmlDrawing1.vml"/><Relationship Id="rId4" Type="http://schemas.openxmlformats.org/officeDocument/2006/relationships/hyperlink" Target="https://tenderplus.kz/zakupki/45038320" TargetMode="External"/><Relationship Id="rId9" Type="http://schemas.openxmlformats.org/officeDocument/2006/relationships/hyperlink" Target="https://tenderplus.kz/zakupki/43885283" TargetMode="External"/><Relationship Id="rId14" Type="http://schemas.openxmlformats.org/officeDocument/2006/relationships/hyperlink" Target="https://tenderplus.kz/zakupki/42907712" TargetMode="External"/><Relationship Id="rId22" Type="http://schemas.openxmlformats.org/officeDocument/2006/relationships/hyperlink" Target="https://tenderplus.kz/zakupki/44172677" TargetMode="External"/><Relationship Id="rId27" Type="http://schemas.openxmlformats.org/officeDocument/2006/relationships/hyperlink" Target="https://tenderplus.kz/zakupki/44548415" TargetMode="External"/><Relationship Id="rId30" Type="http://schemas.openxmlformats.org/officeDocument/2006/relationships/hyperlink" Target="https://tenderplus.kz/zakupki/43849256" TargetMode="External"/><Relationship Id="rId35" Type="http://schemas.openxmlformats.org/officeDocument/2006/relationships/hyperlink" Target="https://tenderplus.kz/zakupki/45988743" TargetMode="External"/><Relationship Id="rId43" Type="http://schemas.openxmlformats.org/officeDocument/2006/relationships/hyperlink" Target="https://tenderplus.kz/zakupki/48685789" TargetMode="External"/><Relationship Id="rId48" Type="http://schemas.openxmlformats.org/officeDocument/2006/relationships/hyperlink" Target="https://eurasiantech-tender.kz/Identity/Account/Login?ReturnUrl=%2FPurchase%2FIndex%2F49490" TargetMode="External"/><Relationship Id="rId8" Type="http://schemas.openxmlformats.org/officeDocument/2006/relationships/hyperlink" Target="https://tenderplus.kz/zakupki/43793985" TargetMode="External"/><Relationship Id="rId51" Type="http://schemas.openxmlformats.org/officeDocument/2006/relationships/hyperlink" Target="https://tenderplus.kz/zakupki/49463534" TargetMode="External"/><Relationship Id="rId3" Type="http://schemas.openxmlformats.org/officeDocument/2006/relationships/hyperlink" Target="https://tenderplus.kz/zakupki/45845642" TargetMode="External"/><Relationship Id="rId12" Type="http://schemas.openxmlformats.org/officeDocument/2006/relationships/hyperlink" Target="https://goszakup.gov.kz/ru/announce/index/15191215" TargetMode="External"/><Relationship Id="rId17" Type="http://schemas.openxmlformats.org/officeDocument/2006/relationships/hyperlink" Target="https://tenderplus.kz/zakupki/41074502" TargetMode="External"/><Relationship Id="rId25" Type="http://schemas.openxmlformats.org/officeDocument/2006/relationships/hyperlink" Target="https://tenderplus.kz/zakupki/44610034" TargetMode="External"/><Relationship Id="rId33" Type="http://schemas.openxmlformats.org/officeDocument/2006/relationships/hyperlink" Target="https://tenderplus.kz/zakupki/44365783" TargetMode="External"/><Relationship Id="rId38" Type="http://schemas.openxmlformats.org/officeDocument/2006/relationships/hyperlink" Target="https://tenderplus.kz/zakupki/44613502" TargetMode="External"/><Relationship Id="rId46" Type="http://schemas.openxmlformats.org/officeDocument/2006/relationships/hyperlink" Target="https://tenderplus.kz/zakupki/44613502" TargetMode="External"/><Relationship Id="rId20" Type="http://schemas.openxmlformats.org/officeDocument/2006/relationships/hyperlink" Target="https://tenderplus.kz/zakupki/43206500" TargetMode="External"/><Relationship Id="rId41" Type="http://schemas.openxmlformats.org/officeDocument/2006/relationships/hyperlink" Target="https://tenderplus.kz/zakupki/48654965" TargetMode="External"/><Relationship Id="rId54" Type="http://schemas.microsoft.com/office/2017/10/relationships/threadedComment" Target="../threadedComments/threadedComment1.xml"/><Relationship Id="rId1" Type="http://schemas.openxmlformats.org/officeDocument/2006/relationships/hyperlink" Target="https://tenderplus.kz/zakupki/44255775" TargetMode="External"/><Relationship Id="rId6" Type="http://schemas.openxmlformats.org/officeDocument/2006/relationships/hyperlink" Target="https://tenderplus.kz/zakupki/44775983" TargetMode="External"/><Relationship Id="rId15" Type="http://schemas.openxmlformats.org/officeDocument/2006/relationships/hyperlink" Target="https://tenderplus.kz/zakupki/43255234" TargetMode="External"/><Relationship Id="rId23" Type="http://schemas.openxmlformats.org/officeDocument/2006/relationships/hyperlink" Target="https://tenderplus.kz/zakupki/38333431" TargetMode="External"/><Relationship Id="rId28" Type="http://schemas.openxmlformats.org/officeDocument/2006/relationships/hyperlink" Target="https://goszakup.gov.kz/ru/announce/index/15191215" TargetMode="External"/><Relationship Id="rId36" Type="http://schemas.openxmlformats.org/officeDocument/2006/relationships/hyperlink" Target="https://tenderplus.kz/zakupki/43158326" TargetMode="External"/><Relationship Id="rId49" Type="http://schemas.openxmlformats.org/officeDocument/2006/relationships/hyperlink" Target="https://tenderplus.kz/zakupki/44583675"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nderplus.kz/zakupki/48962724" TargetMode="External"/><Relationship Id="rId21" Type="http://schemas.openxmlformats.org/officeDocument/2006/relationships/hyperlink" Target="https://tenderplus.kz/zakupki/48756373" TargetMode="External"/><Relationship Id="rId42" Type="http://schemas.openxmlformats.org/officeDocument/2006/relationships/hyperlink" Target="https://tenderplus.kz/zakupki/49408926" TargetMode="External"/><Relationship Id="rId47" Type="http://schemas.openxmlformats.org/officeDocument/2006/relationships/hyperlink" Target="https://tenderplus.kz/zakupki/49323311;%20https:/tenderplus.kz/zakupki/49349308;%20https:/tenderplus.kz/zakupki/49219182;%20https:/tenderplus.kz/zakupki/48510112;%20https:/tenderplus.kz/zakupki/48470276;%20https:/tenderplus.kz/zakupki/48425987;%20https:/tenderplus.kz/zakupki/48339165" TargetMode="External"/><Relationship Id="rId63" Type="http://schemas.openxmlformats.org/officeDocument/2006/relationships/hyperlink" Target="https://tenderplus.kz/zakupki/48463028" TargetMode="External"/><Relationship Id="rId68" Type="http://schemas.openxmlformats.org/officeDocument/2006/relationships/hyperlink" Target="https://tenderplus.kz/zakupki/49189291;%20https:/tenderplus.kz/zakupki/49352144" TargetMode="External"/><Relationship Id="rId16" Type="http://schemas.openxmlformats.org/officeDocument/2006/relationships/hyperlink" Target="https://tenderplus.kz/zakupki/49069427" TargetMode="External"/><Relationship Id="rId11" Type="http://schemas.openxmlformats.org/officeDocument/2006/relationships/hyperlink" Target="https://tenderplus.kz/zakupki/48230936" TargetMode="External"/><Relationship Id="rId24" Type="http://schemas.openxmlformats.org/officeDocument/2006/relationships/hyperlink" Target="https://tenderplus.kz/zakupki/49247179" TargetMode="External"/><Relationship Id="rId32" Type="http://schemas.openxmlformats.org/officeDocument/2006/relationships/hyperlink" Target="https://tenderplus.kz/zakupki/48450096" TargetMode="External"/><Relationship Id="rId37" Type="http://schemas.openxmlformats.org/officeDocument/2006/relationships/hyperlink" Target="https://tenderplus.kz/zakupki/49521770" TargetMode="External"/><Relationship Id="rId40" Type="http://schemas.openxmlformats.org/officeDocument/2006/relationships/hyperlink" Target="https://tenderplus.kz/zakupki/49229021" TargetMode="External"/><Relationship Id="rId45" Type="http://schemas.openxmlformats.org/officeDocument/2006/relationships/hyperlink" Target="https://tenderplus.kz/zakupki/49630501" TargetMode="External"/><Relationship Id="rId53" Type="http://schemas.openxmlformats.org/officeDocument/2006/relationships/hyperlink" Target="https://tenderplus.kz/zakupki/49323311;%20https:/tenderplus.kz/zakupki/49349308;%20https:/tenderplus.kz/zakupki/49219182;%20https:/tenderplus.kz/zakupki/48510112;%20https:/tenderplus.kz/zakupki/48470276;%20https:/tenderplus.kz/zakupki/48425987;%20https:/tenderplus.kz/zakupki/48339165" TargetMode="External"/><Relationship Id="rId58" Type="http://schemas.openxmlformats.org/officeDocument/2006/relationships/hyperlink" Target="https://tenderplus.kz/zakupki/49245183" TargetMode="External"/><Relationship Id="rId66" Type="http://schemas.openxmlformats.org/officeDocument/2006/relationships/hyperlink" Target="https://tenderplus.kz/zakupki/49288256" TargetMode="External"/><Relationship Id="rId74" Type="http://schemas.openxmlformats.org/officeDocument/2006/relationships/hyperlink" Target="https://tenderplus.kz/zakupki/48543029" TargetMode="External"/><Relationship Id="rId79" Type="http://schemas.openxmlformats.org/officeDocument/2006/relationships/hyperlink" Target="https://tenderplus.kz/zakupki/49470115" TargetMode="External"/><Relationship Id="rId5" Type="http://schemas.openxmlformats.org/officeDocument/2006/relationships/hyperlink" Target="https://etbemp.kz/ru/Protocol/Get/29632?status=1" TargetMode="External"/><Relationship Id="rId61" Type="http://schemas.openxmlformats.org/officeDocument/2006/relationships/hyperlink" Target="https://tenderplus.kz/zakupki/48450096" TargetMode="External"/><Relationship Id="rId19" Type="http://schemas.openxmlformats.org/officeDocument/2006/relationships/hyperlink" Target="https://tenderplus.kz/zakupki/49118472" TargetMode="External"/><Relationship Id="rId14" Type="http://schemas.openxmlformats.org/officeDocument/2006/relationships/hyperlink" Target="https://tenderplus.kz/zakupki/42949587" TargetMode="External"/><Relationship Id="rId22" Type="http://schemas.openxmlformats.org/officeDocument/2006/relationships/hyperlink" Target="https://tenderplus.kz/zakupki/48737385" TargetMode="External"/><Relationship Id="rId27" Type="http://schemas.openxmlformats.org/officeDocument/2006/relationships/hyperlink" Target="https://tenderplus.kz/zakupki/48558966" TargetMode="External"/><Relationship Id="rId30" Type="http://schemas.openxmlformats.org/officeDocument/2006/relationships/hyperlink" Target="https://tenderplus.kz/zakupki/48413783" TargetMode="External"/><Relationship Id="rId35" Type="http://schemas.openxmlformats.org/officeDocument/2006/relationships/hyperlink" Target="https://tenderplus.kz/zakupki/49347386" TargetMode="External"/><Relationship Id="rId43" Type="http://schemas.openxmlformats.org/officeDocument/2006/relationships/hyperlink" Target="https://tenderplus.kz/zakupki/49257341" TargetMode="External"/><Relationship Id="rId48" Type="http://schemas.openxmlformats.org/officeDocument/2006/relationships/hyperlink" Target="https://tenderplus.kz/zakupki/48730191" TargetMode="External"/><Relationship Id="rId56" Type="http://schemas.openxmlformats.org/officeDocument/2006/relationships/hyperlink" Target="https://tenderplus.kz/zakupki/48821403" TargetMode="External"/><Relationship Id="rId64" Type="http://schemas.openxmlformats.org/officeDocument/2006/relationships/hyperlink" Target="https://tenderplus.kz/zakupki/49522927" TargetMode="External"/><Relationship Id="rId69" Type="http://schemas.openxmlformats.org/officeDocument/2006/relationships/hyperlink" Target="https://tenderplus.kz/zakupki/49011265" TargetMode="External"/><Relationship Id="rId77" Type="http://schemas.openxmlformats.org/officeDocument/2006/relationships/hyperlink" Target="https://tenderplus.kz/zakupki/49347386" TargetMode="External"/><Relationship Id="rId8" Type="http://schemas.openxmlformats.org/officeDocument/2006/relationships/hyperlink" Target="https://tenderplus.kz/zakupki/49430463" TargetMode="External"/><Relationship Id="rId51" Type="http://schemas.openxmlformats.org/officeDocument/2006/relationships/hyperlink" Target="https://tenderplus.kz/zakupki/49323311;%20https:/tenderplus.kz/zakupki/49349308;%20https:/tenderplus.kz/zakupki/49219182;%20https:/tenderplus.kz/zakupki/48510112;%20https:/tenderplus.kz/zakupki/48470276;%20https:/tenderplus.kz/zakupki/48425987;%20https:/tenderplus.kz/zakupki/48339165" TargetMode="External"/><Relationship Id="rId72" Type="http://schemas.openxmlformats.org/officeDocument/2006/relationships/hyperlink" Target="https://tenderplus.kz/zakupki/49189291;%20https:/tenderplus.kz/zakupki/49352144" TargetMode="External"/><Relationship Id="rId80" Type="http://schemas.openxmlformats.org/officeDocument/2006/relationships/hyperlink" Target="https://tenderplus.kz/zakupki/49510405" TargetMode="External"/><Relationship Id="rId3" Type="http://schemas.openxmlformats.org/officeDocument/2006/relationships/hyperlink" Target="https://td.ccx.kz/trades/profile/33427" TargetMode="External"/><Relationship Id="rId12" Type="http://schemas.openxmlformats.org/officeDocument/2006/relationships/hyperlink" Target="https://tenderplus.kz/zakupki/48218001" TargetMode="External"/><Relationship Id="rId17" Type="http://schemas.openxmlformats.org/officeDocument/2006/relationships/hyperlink" Target="https://tenderplus.kz/zakupki/48718080" TargetMode="External"/><Relationship Id="rId25" Type="http://schemas.openxmlformats.org/officeDocument/2006/relationships/hyperlink" Target="https://tenderplus.kz/zakupki/48946706;%20https:/tenderplus.kz/zakupki/48946705;%20https:/tenderplus.kz/zakupki/48946703;%20https:/tenderplus.kz/zakupki/48946701;https:/tenderplus.kz/zakupki/48946700" TargetMode="External"/><Relationship Id="rId33" Type="http://schemas.openxmlformats.org/officeDocument/2006/relationships/hyperlink" Target="https://tenderplus.kz/zakupki/48309621" TargetMode="External"/><Relationship Id="rId38" Type="http://schemas.openxmlformats.org/officeDocument/2006/relationships/hyperlink" Target="https://tenderplus.kz/zakupki/49514274" TargetMode="External"/><Relationship Id="rId46" Type="http://schemas.openxmlformats.org/officeDocument/2006/relationships/hyperlink" Target="https://tenderplus.kz/zakupki/48463028" TargetMode="External"/><Relationship Id="rId59" Type="http://schemas.openxmlformats.org/officeDocument/2006/relationships/hyperlink" Target="https://tenderplus.kz/zakupki/48446399" TargetMode="External"/><Relationship Id="rId67" Type="http://schemas.openxmlformats.org/officeDocument/2006/relationships/hyperlink" Target="https://tenderplus.kz/zakupki/48770136;%20https:/tenderplus.kz/zakupki/48971776" TargetMode="External"/><Relationship Id="rId20" Type="http://schemas.openxmlformats.org/officeDocument/2006/relationships/hyperlink" Target="https://tenderplus.kz/zakupki/48703114" TargetMode="External"/><Relationship Id="rId41" Type="http://schemas.openxmlformats.org/officeDocument/2006/relationships/hyperlink" Target="https://tenderplus.kz/zakupki/48761788" TargetMode="External"/><Relationship Id="rId54" Type="http://schemas.openxmlformats.org/officeDocument/2006/relationships/hyperlink" Target="https://tenderplus.kz/zakupki/49323311;%20https:/tenderplus.kz/zakupki/49349308;%20https:/tenderplus.kz/zakupki/49219182;%20https:/tenderplus.kz/zakupki/48510112;%20https:/tenderplus.kz/zakupki/48470276;%20https:/tenderplus.kz/zakupki/48425987;%20https:/tenderplus.kz/zakupki/48339165" TargetMode="External"/><Relationship Id="rId62" Type="http://schemas.openxmlformats.org/officeDocument/2006/relationships/hyperlink" Target="https://tenderplus.kz/zakupki/49347386" TargetMode="External"/><Relationship Id="rId70" Type="http://schemas.openxmlformats.org/officeDocument/2006/relationships/hyperlink" Target="https://tenderplus.kz/zakupki/49147718" TargetMode="External"/><Relationship Id="rId75" Type="http://schemas.openxmlformats.org/officeDocument/2006/relationships/hyperlink" Target="https://tenderplus.kz/zakupki/48728562" TargetMode="External"/><Relationship Id="rId1" Type="http://schemas.openxmlformats.org/officeDocument/2006/relationships/hyperlink" Target="https://idp2.ccx.kz/realms/istd/protocol/openid-connect/auth?client_id=angular-frontend&amp;redirect_uri=https%3A%2F%2Ftd.ccx.kz%2Fcabinet&amp;state=881293d3-23c7-4aaa-87ce-c5e85e6c865f&amp;response_mode=fragment&amp;response_type=code&amp;scope=openid" TargetMode="External"/><Relationship Id="rId6" Type="http://schemas.openxmlformats.org/officeDocument/2006/relationships/hyperlink" Target="https://tenderplus.kz/zakupki/48461685;%20https:/tenderplus.kz/zakupki/48510306;%20https:/tenderplus.kz/zakupki/48540959" TargetMode="External"/><Relationship Id="rId15" Type="http://schemas.openxmlformats.org/officeDocument/2006/relationships/hyperlink" Target="https://tenderplus.kz/zakupki/48230538" TargetMode="External"/><Relationship Id="rId23" Type="http://schemas.openxmlformats.org/officeDocument/2006/relationships/hyperlink" Target="https://tenderplus.kz/zakupki/48657640" TargetMode="External"/><Relationship Id="rId28" Type="http://schemas.openxmlformats.org/officeDocument/2006/relationships/hyperlink" Target="https://tenderplus.kz/zakupki/49257341" TargetMode="External"/><Relationship Id="rId36" Type="http://schemas.openxmlformats.org/officeDocument/2006/relationships/hyperlink" Target="https://tenderplus.kz/zakupki/49229021" TargetMode="External"/><Relationship Id="rId49" Type="http://schemas.openxmlformats.org/officeDocument/2006/relationships/hyperlink" Target="https://tenderplus.kz/zakupki/49323311;%20https:/tenderplus.kz/zakupki/49349308;%20https:/tenderplus.kz/zakupki/49219182;%20https:/tenderplus.kz/zakupki/48510112;%20https:/tenderplus.kz/zakupki/48470276;%20https:/tenderplus.kz/zakupki/48425987;%20https:/tenderplus.kz/zakupki/48339165" TargetMode="External"/><Relationship Id="rId57" Type="http://schemas.openxmlformats.org/officeDocument/2006/relationships/hyperlink" Target="https://tenderplus.kz/zakupki/48492770" TargetMode="External"/><Relationship Id="rId10" Type="http://schemas.openxmlformats.org/officeDocument/2006/relationships/hyperlink" Target="https://tenderplus.kz/zakupki/48904172" TargetMode="External"/><Relationship Id="rId31" Type="http://schemas.openxmlformats.org/officeDocument/2006/relationships/hyperlink" Target="https://tenderplus.kz/zakupki/48787695;%20https:/tenderplus.kz/zakupki/48786709" TargetMode="External"/><Relationship Id="rId44" Type="http://schemas.openxmlformats.org/officeDocument/2006/relationships/hyperlink" Target="https://tenderplus.kz/zakupki/49307293" TargetMode="External"/><Relationship Id="rId52" Type="http://schemas.openxmlformats.org/officeDocument/2006/relationships/hyperlink" Target="https://tenderplus.kz/zakupki/49323311;%20https:/tenderplus.kz/zakupki/49349308;%20https:/tenderplus.kz/zakupki/49219182;%20https:/tenderplus.kz/zakupki/48510112;%20https:/tenderplus.kz/zakupki/48470276;%20https:/tenderplus.kz/zakupki/48425987;%20https:/tenderplus.kz/zakupki/48339165" TargetMode="External"/><Relationship Id="rId60" Type="http://schemas.openxmlformats.org/officeDocument/2006/relationships/hyperlink" Target="https://tenderplus.kz/zakupki/48843234" TargetMode="External"/><Relationship Id="rId65" Type="http://schemas.openxmlformats.org/officeDocument/2006/relationships/hyperlink" Target="https://tenderplus.kz/zakupki/49018479" TargetMode="External"/><Relationship Id="rId73" Type="http://schemas.openxmlformats.org/officeDocument/2006/relationships/hyperlink" Target="https://tenderplus.kz/zakupki/49189291;%20https:/tenderplus.kz/zakupki/49352144" TargetMode="External"/><Relationship Id="rId78" Type="http://schemas.openxmlformats.org/officeDocument/2006/relationships/hyperlink" Target="https://tenderplus.kz/zakupki/48781632" TargetMode="External"/><Relationship Id="rId4" Type="http://schemas.openxmlformats.org/officeDocument/2006/relationships/hyperlink" Target="https://etbemp.kz/ru/Protocol/Get/29632?status=1" TargetMode="External"/><Relationship Id="rId9" Type="http://schemas.openxmlformats.org/officeDocument/2006/relationships/hyperlink" Target="https://tenderplus.kz/zakupki/49104674" TargetMode="External"/><Relationship Id="rId13" Type="http://schemas.openxmlformats.org/officeDocument/2006/relationships/hyperlink" Target="https://tenderplus.kz/zakupki/48091331" TargetMode="External"/><Relationship Id="rId18" Type="http://schemas.openxmlformats.org/officeDocument/2006/relationships/hyperlink" Target="https://tenderplus.kz/zakupki/48282637" TargetMode="External"/><Relationship Id="rId39" Type="http://schemas.openxmlformats.org/officeDocument/2006/relationships/hyperlink" Target="https://tenderplus.kz/zakupki/49229021" TargetMode="External"/><Relationship Id="rId34" Type="http://schemas.openxmlformats.org/officeDocument/2006/relationships/hyperlink" Target="https://tenderplus.kz/zakupki/43886155" TargetMode="External"/><Relationship Id="rId50" Type="http://schemas.openxmlformats.org/officeDocument/2006/relationships/hyperlink" Target="https://tenderplus.kz/zakupki/49323311;%20https:/tenderplus.kz/zakupki/49349308;%20https:/tenderplus.kz/zakupki/49219182;%20https:/tenderplus.kz/zakupki/48510112;%20https:/tenderplus.kz/zakupki/48470276;%20https:/tenderplus.kz/zakupki/48425987;%20https:/tenderplus.kz/zakupki/48339165" TargetMode="External"/><Relationship Id="rId55" Type="http://schemas.openxmlformats.org/officeDocument/2006/relationships/hyperlink" Target="https://tenderplus.kz/zakupki/49549022" TargetMode="External"/><Relationship Id="rId76" Type="http://schemas.openxmlformats.org/officeDocument/2006/relationships/hyperlink" Target="https://tenderplus.kz/zakupki/49347386" TargetMode="External"/><Relationship Id="rId7" Type="http://schemas.openxmlformats.org/officeDocument/2006/relationships/hyperlink" Target="https://tenderplus.kz/zakupki/48543112" TargetMode="External"/><Relationship Id="rId71" Type="http://schemas.openxmlformats.org/officeDocument/2006/relationships/hyperlink" Target="https://tenderplus.kz/zakupki/49189291;%20https:/tenderplus.kz/zakupki/49352144" TargetMode="External"/><Relationship Id="rId2" Type="http://schemas.openxmlformats.org/officeDocument/2006/relationships/hyperlink" Target="https://idp2.ccx.kz/realms/istd/protocol/openid-connect/auth?client_id=angular-frontend&amp;redirect_uri=https%3A%2F%2Ftd.ccx.kz%2Fcabinet&amp;state=16583b73-b147-4526-9297-e87d10cd3f17&amp;response_mode=fragment&amp;response_type=code&amp;scope=openid" TargetMode="External"/><Relationship Id="rId29" Type="http://schemas.openxmlformats.org/officeDocument/2006/relationships/hyperlink" Target="https://tenderplus.kz/zakupki/48672632" TargetMode="Externa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26" Type="http://schemas.openxmlformats.org/officeDocument/2006/relationships/hyperlink" Target="https://zakup.nationalbank.kz/ru/publics/lot/219671" TargetMode="External"/><Relationship Id="rId21" Type="http://schemas.openxmlformats.org/officeDocument/2006/relationships/hyperlink" Target="https://tenderplus.kz/zakupki/50107532" TargetMode="External"/><Relationship Id="rId42" Type="http://schemas.openxmlformats.org/officeDocument/2006/relationships/hyperlink" Target="https://zakup.sk.kz/" TargetMode="External"/><Relationship Id="rId47" Type="http://schemas.openxmlformats.org/officeDocument/2006/relationships/hyperlink" Target="https://tenderplus.kz/zakupki/45419366" TargetMode="External"/><Relationship Id="rId63" Type="http://schemas.openxmlformats.org/officeDocument/2006/relationships/hyperlink" Target="https://tenderplus.kz/zakupki/38351068" TargetMode="External"/><Relationship Id="rId68" Type="http://schemas.openxmlformats.org/officeDocument/2006/relationships/hyperlink" Target="https://goszakup.gov.kz/ru/announce/index/11233337" TargetMode="External"/><Relationship Id="rId16" Type="http://schemas.openxmlformats.org/officeDocument/2006/relationships/hyperlink" Target="https://zakup.nationalbank.kz/ru/publics/lot/229964" TargetMode="External"/><Relationship Id="rId11" Type="http://schemas.openxmlformats.org/officeDocument/2006/relationships/hyperlink" Target="https://tenderplus.kz/zakupki/51306804" TargetMode="External"/><Relationship Id="rId24" Type="http://schemas.openxmlformats.org/officeDocument/2006/relationships/hyperlink" Target="https://www.ets-tender.kz/market/server-3-sht/tender-2083268/" TargetMode="External"/><Relationship Id="rId32" Type="http://schemas.openxmlformats.org/officeDocument/2006/relationships/hyperlink" Target="https://goszakup.gov.kz/ru/announce/index/15990870" TargetMode="External"/><Relationship Id="rId37" Type="http://schemas.openxmlformats.org/officeDocument/2006/relationships/hyperlink" Target="https://tenderplus.kz/zakupki/48047460" TargetMode="External"/><Relationship Id="rId40" Type="http://schemas.openxmlformats.org/officeDocument/2006/relationships/hyperlink" Target="https://goszakup.gov.kz/ru/announce/index/15272685" TargetMode="External"/><Relationship Id="rId45" Type="http://schemas.openxmlformats.org/officeDocument/2006/relationships/hyperlink" Target="https://tenderplus.kz/zakupki/45403718" TargetMode="External"/><Relationship Id="rId53" Type="http://schemas.openxmlformats.org/officeDocument/2006/relationships/hyperlink" Target="https://tenderplus.kz/zakupki/44707578" TargetMode="External"/><Relationship Id="rId58" Type="http://schemas.openxmlformats.org/officeDocument/2006/relationships/hyperlink" Target="https://zakup.sk.kz/" TargetMode="External"/><Relationship Id="rId66" Type="http://schemas.openxmlformats.org/officeDocument/2006/relationships/hyperlink" Target="https://goszakup.gov.kz/ru/announce/index/11392857" TargetMode="External"/><Relationship Id="rId74" Type="http://schemas.openxmlformats.org/officeDocument/2006/relationships/hyperlink" Target="https://goszakup.gov.kz/ru/announce/index/10490238" TargetMode="External"/><Relationship Id="rId5" Type="http://schemas.openxmlformats.org/officeDocument/2006/relationships/hyperlink" Target="https://tenderplus.kz/zakupki/51643089" TargetMode="External"/><Relationship Id="rId61" Type="http://schemas.openxmlformats.org/officeDocument/2006/relationships/hyperlink" Target="https://tenderplus.kz/zakupki/39990243" TargetMode="External"/><Relationship Id="rId19" Type="http://schemas.openxmlformats.org/officeDocument/2006/relationships/hyperlink" Target="https://tenderplus.kz/zakupki/51152531" TargetMode="External"/><Relationship Id="rId14" Type="http://schemas.openxmlformats.org/officeDocument/2006/relationships/hyperlink" Target="https://zakup.nationalbank.kz/ru/publics/lot/230168" TargetMode="External"/><Relationship Id="rId22" Type="http://schemas.openxmlformats.org/officeDocument/2006/relationships/hyperlink" Target="https://www.ets-tender.kz/market/skhd-sistema-khraneniia-dannykh-1sht/tender-2083270/" TargetMode="External"/><Relationship Id="rId27" Type="http://schemas.openxmlformats.org/officeDocument/2006/relationships/hyperlink" Target="https://tenderplus.kz/zakupki/49889964" TargetMode="External"/><Relationship Id="rId30" Type="http://schemas.openxmlformats.org/officeDocument/2006/relationships/hyperlink" Target="https://zakup.sk.kz/" TargetMode="External"/><Relationship Id="rId35" Type="http://schemas.openxmlformats.org/officeDocument/2006/relationships/hyperlink" Target="https://tenderplus.kz/zakupki/48133933" TargetMode="External"/><Relationship Id="rId43" Type="http://schemas.openxmlformats.org/officeDocument/2006/relationships/hyperlink" Target="https://tenderplus.kz/zakupki/45603799" TargetMode="External"/><Relationship Id="rId48" Type="http://schemas.openxmlformats.org/officeDocument/2006/relationships/hyperlink" Target="https://zakup.sk.kz/" TargetMode="External"/><Relationship Id="rId56" Type="http://schemas.openxmlformats.org/officeDocument/2006/relationships/hyperlink" Target="https://zakup.nationalbank.kz/ru/publics/lot/179307" TargetMode="External"/><Relationship Id="rId64" Type="http://schemas.openxmlformats.org/officeDocument/2006/relationships/hyperlink" Target="https://goszakup.gov.kz/ru/announce/index/11585346" TargetMode="External"/><Relationship Id="rId69" Type="http://schemas.openxmlformats.org/officeDocument/2006/relationships/hyperlink" Target="https://tenderplus.kz/zakupki/41420032" TargetMode="External"/><Relationship Id="rId77" Type="http://schemas.openxmlformats.org/officeDocument/2006/relationships/hyperlink" Target="https://tenderplus.kz/zakupki/27790645" TargetMode="External"/><Relationship Id="rId8" Type="http://schemas.openxmlformats.org/officeDocument/2006/relationships/hyperlink" Target="https://zakup.nationalbank.kz/ru/publics/lot/232720" TargetMode="External"/><Relationship Id="rId51" Type="http://schemas.openxmlformats.org/officeDocument/2006/relationships/hyperlink" Target="https://tenderplus.kz/zakupki/44845169" TargetMode="External"/><Relationship Id="rId72" Type="http://schemas.openxmlformats.org/officeDocument/2006/relationships/hyperlink" Target="https://goszakup.gov.kz/ru/announce/index/10494848" TargetMode="External"/><Relationship Id="rId3" Type="http://schemas.openxmlformats.org/officeDocument/2006/relationships/hyperlink" Target="https://tenderplus.kz/zakupki/51648111" TargetMode="External"/><Relationship Id="rId12" Type="http://schemas.openxmlformats.org/officeDocument/2006/relationships/hyperlink" Target="https://www.ets-tender.kz/market/zapros-kotirovok-na-pravo-zakliucheniia-dogovora-na-postavku-sistem/tender-2086590/" TargetMode="External"/><Relationship Id="rId17" Type="http://schemas.openxmlformats.org/officeDocument/2006/relationships/hyperlink" Target="https://tenderplus.kz/zakupki/51246334" TargetMode="External"/><Relationship Id="rId25" Type="http://schemas.openxmlformats.org/officeDocument/2006/relationships/hyperlink" Target="https://tenderplus.kz/zakupki/49889963" TargetMode="External"/><Relationship Id="rId33" Type="http://schemas.openxmlformats.org/officeDocument/2006/relationships/hyperlink" Target="https://tenderplus.kz/zakupki/48361506" TargetMode="External"/><Relationship Id="rId38" Type="http://schemas.openxmlformats.org/officeDocument/2006/relationships/hyperlink" Target="https://zakup.nationalbank.kz/ru/publics/lot/200920" TargetMode="External"/><Relationship Id="rId46" Type="http://schemas.openxmlformats.org/officeDocument/2006/relationships/hyperlink" Target="https://zakup.nationalbank.kz/ru/publics/lot/184021" TargetMode="External"/><Relationship Id="rId59" Type="http://schemas.openxmlformats.org/officeDocument/2006/relationships/hyperlink" Target="https://tenderplus.kz/zakupki/42675502" TargetMode="External"/><Relationship Id="rId67" Type="http://schemas.openxmlformats.org/officeDocument/2006/relationships/hyperlink" Target="https://tenderplus.kz/zakupki/37720919" TargetMode="External"/><Relationship Id="rId20" Type="http://schemas.openxmlformats.org/officeDocument/2006/relationships/hyperlink" Target="https://zakup.nationalbank.kz/ru/publics/lot/228824" TargetMode="External"/><Relationship Id="rId41" Type="http://schemas.openxmlformats.org/officeDocument/2006/relationships/hyperlink" Target="https://tenderplus.kz/zakupki/46130637" TargetMode="External"/><Relationship Id="rId54" Type="http://schemas.openxmlformats.org/officeDocument/2006/relationships/hyperlink" Target="https://goszakup.gov.kz/ru/announce/index/14333663" TargetMode="External"/><Relationship Id="rId62" Type="http://schemas.openxmlformats.org/officeDocument/2006/relationships/hyperlink" Target="https://goszakup.gov.kz/ru/announce/index/12308587" TargetMode="External"/><Relationship Id="rId70" Type="http://schemas.openxmlformats.org/officeDocument/2006/relationships/hyperlink" Target="https://zakup.sk.kz/" TargetMode="External"/><Relationship Id="rId75" Type="http://schemas.openxmlformats.org/officeDocument/2006/relationships/hyperlink" Target="https://tenderplus.kz/zakupki/35043350" TargetMode="External"/><Relationship Id="rId1" Type="http://schemas.openxmlformats.org/officeDocument/2006/relationships/hyperlink" Target="https://tenderplus.kz/zakupki/51671024" TargetMode="External"/><Relationship Id="rId6" Type="http://schemas.openxmlformats.org/officeDocument/2006/relationships/hyperlink" Target="https://zakup.nationalbank.kz/ru/publics/lot/232934" TargetMode="External"/><Relationship Id="rId15" Type="http://schemas.openxmlformats.org/officeDocument/2006/relationships/hyperlink" Target="https://tenderplus.kz/zakupki/51277374" TargetMode="External"/><Relationship Id="rId23" Type="http://schemas.openxmlformats.org/officeDocument/2006/relationships/hyperlink" Target="https://tenderplus.kz/zakupki/50107535" TargetMode="External"/><Relationship Id="rId28" Type="http://schemas.openxmlformats.org/officeDocument/2006/relationships/hyperlink" Target="https://zakup.nationalbank.kz/ru/publics/lot/219659" TargetMode="External"/><Relationship Id="rId36" Type="http://schemas.openxmlformats.org/officeDocument/2006/relationships/hyperlink" Target="https://zakup.nationalbank.kz/ru/publics/lot/201628" TargetMode="External"/><Relationship Id="rId49" Type="http://schemas.openxmlformats.org/officeDocument/2006/relationships/hyperlink" Target="https://tenderplus.kz/zakupki/45345320" TargetMode="External"/><Relationship Id="rId57" Type="http://schemas.openxmlformats.org/officeDocument/2006/relationships/hyperlink" Target="https://tenderplus.kz/zakupki/43056878" TargetMode="External"/><Relationship Id="rId10" Type="http://schemas.openxmlformats.org/officeDocument/2006/relationships/hyperlink" Target="https://zakup.nationalbank.kz/ru/publics/lot/231203" TargetMode="External"/><Relationship Id="rId31" Type="http://schemas.openxmlformats.org/officeDocument/2006/relationships/hyperlink" Target="https://tenderplus.kz/zakupki/48664806" TargetMode="External"/><Relationship Id="rId44" Type="http://schemas.openxmlformats.org/officeDocument/2006/relationships/hyperlink" Target="https://zakup.nationalbank.kz/ru/publics/lot/185355" TargetMode="External"/><Relationship Id="rId52" Type="http://schemas.openxmlformats.org/officeDocument/2006/relationships/hyperlink" Target="https://zakup.nationalbank.kz/ru/publics/lot/180318" TargetMode="External"/><Relationship Id="rId60" Type="http://schemas.openxmlformats.org/officeDocument/2006/relationships/hyperlink" Target="https://zakup.sk.kz/" TargetMode="External"/><Relationship Id="rId65" Type="http://schemas.openxmlformats.org/officeDocument/2006/relationships/hyperlink" Target="https://tenderplus.kz/zakupki/37979903" TargetMode="External"/><Relationship Id="rId73" Type="http://schemas.openxmlformats.org/officeDocument/2006/relationships/hyperlink" Target="https://tenderplus.kz/zakupki/36148074" TargetMode="External"/><Relationship Id="rId78" Type="http://schemas.openxmlformats.org/officeDocument/2006/relationships/hyperlink" Target="https://goszakup.gov.kz/ru/announce/index/6753611" TargetMode="External"/><Relationship Id="rId4" Type="http://schemas.openxmlformats.org/officeDocument/2006/relationships/hyperlink" Target="https://zakup.nationalbank.kz/ru/publics/lot/232981" TargetMode="External"/><Relationship Id="rId9" Type="http://schemas.openxmlformats.org/officeDocument/2006/relationships/hyperlink" Target="https://tenderplus.kz/zakupki/51383601" TargetMode="External"/><Relationship Id="rId13" Type="http://schemas.openxmlformats.org/officeDocument/2006/relationships/hyperlink" Target="https://tenderplus.kz/zakupki/51286250" TargetMode="External"/><Relationship Id="rId18" Type="http://schemas.openxmlformats.org/officeDocument/2006/relationships/hyperlink" Target="https://zakup.nationalbank.kz/ru/publics/lot/229532" TargetMode="External"/><Relationship Id="rId39" Type="http://schemas.openxmlformats.org/officeDocument/2006/relationships/hyperlink" Target="https://tenderplus.kz/zakupki/46889673" TargetMode="External"/><Relationship Id="rId34" Type="http://schemas.openxmlformats.org/officeDocument/2006/relationships/hyperlink" Target="https://eep.mitwork.kz/ru/publics/lot/593893" TargetMode="External"/><Relationship Id="rId50" Type="http://schemas.openxmlformats.org/officeDocument/2006/relationships/hyperlink" Target="https://zakup.sk.kz/" TargetMode="External"/><Relationship Id="rId55" Type="http://schemas.openxmlformats.org/officeDocument/2006/relationships/hyperlink" Target="https://tenderplus.kz/zakupki/44694779" TargetMode="External"/><Relationship Id="rId76" Type="http://schemas.openxmlformats.org/officeDocument/2006/relationships/hyperlink" Target="https://goszakup.gov.kz/ru/announce/index/9967707" TargetMode="External"/><Relationship Id="rId7" Type="http://schemas.openxmlformats.org/officeDocument/2006/relationships/hyperlink" Target="https://tenderplus.kz/zakupki/51584788" TargetMode="External"/><Relationship Id="rId71" Type="http://schemas.openxmlformats.org/officeDocument/2006/relationships/hyperlink" Target="https://tenderplus.kz/zakupki/36175719" TargetMode="External"/><Relationship Id="rId2" Type="http://schemas.openxmlformats.org/officeDocument/2006/relationships/hyperlink" Target="https://zakup.nationalbank.kz/ru/publics/lot/233029" TargetMode="External"/><Relationship Id="rId29" Type="http://schemas.openxmlformats.org/officeDocument/2006/relationships/hyperlink" Target="https://tenderplus.kz/zakupki/486842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067C8E-1F59-4427-AEEF-C77A4B5EDFA8}">
  <sheetPr filterMode="1">
    <tabColor rgb="FFFF0000"/>
  </sheetPr>
  <dimension ref="A1:P78"/>
  <sheetViews>
    <sheetView workbookViewId="0">
      <pane ySplit="1" topLeftCell="A26" activePane="bottomLeft" state="frozen"/>
      <selection pane="bottomLeft" activeCell="C2" sqref="C2"/>
    </sheetView>
  </sheetViews>
  <sheetFormatPr defaultRowHeight="15"/>
  <cols>
    <col min="1" max="1" width="13.42578125" style="14" bestFit="1" customWidth="1"/>
    <col min="2" max="2" width="14.5703125" style="14" customWidth="1"/>
    <col min="3" max="3" width="13.5703125" style="14" customWidth="1"/>
    <col min="4" max="4" width="65.42578125" style="14" customWidth="1"/>
    <col min="5" max="5" width="46.140625" style="14" customWidth="1"/>
    <col min="6" max="6" width="14.28515625" style="14" customWidth="1"/>
    <col min="7" max="7" width="31.140625" style="14" customWidth="1"/>
    <col min="8" max="8" width="18.5703125" style="14" customWidth="1"/>
    <col min="9" max="9" width="20" style="14" customWidth="1"/>
    <col min="10" max="10" width="46.85546875" style="14" customWidth="1"/>
    <col min="11" max="11" width="21" style="14" customWidth="1"/>
    <col min="12" max="12" width="48.85546875" style="14" customWidth="1"/>
    <col min="13" max="13" width="18.7109375" style="14" customWidth="1"/>
    <col min="14" max="14" width="36.5703125" style="14" bestFit="1" customWidth="1"/>
    <col min="15" max="16384" width="9.140625" style="14"/>
  </cols>
  <sheetData>
    <row r="1" spans="1:16" s="60" customFormat="1" ht="29.25">
      <c r="A1" s="123" t="s">
        <v>0</v>
      </c>
      <c r="B1" s="124" t="s">
        <v>1</v>
      </c>
      <c r="C1" s="125" t="s">
        <v>2</v>
      </c>
      <c r="D1" s="123" t="s">
        <v>3</v>
      </c>
      <c r="E1" s="124" t="s">
        <v>4</v>
      </c>
      <c r="F1" s="124" t="s">
        <v>5</v>
      </c>
      <c r="G1" s="113" t="s">
        <v>6</v>
      </c>
      <c r="H1" s="113" t="s">
        <v>7</v>
      </c>
      <c r="I1" s="113" t="s">
        <v>8</v>
      </c>
      <c r="J1" s="113" t="s">
        <v>9</v>
      </c>
      <c r="K1" s="113" t="s">
        <v>10</v>
      </c>
      <c r="L1" s="113" t="s">
        <v>11</v>
      </c>
      <c r="M1" s="113" t="s">
        <v>12</v>
      </c>
      <c r="N1" s="113" t="s">
        <v>13</v>
      </c>
    </row>
    <row r="2" spans="1:16" s="60" customFormat="1" ht="81.75" customHeight="1">
      <c r="A2" s="95">
        <v>46052</v>
      </c>
      <c r="B2" s="111">
        <v>35000000</v>
      </c>
      <c r="C2" s="62">
        <v>22450044.640000001</v>
      </c>
      <c r="D2" s="158" t="s">
        <v>14</v>
      </c>
      <c r="E2" s="118" t="s">
        <v>15</v>
      </c>
      <c r="F2" s="117" t="s">
        <v>16</v>
      </c>
      <c r="G2" s="117" t="s">
        <v>17</v>
      </c>
      <c r="H2" s="76" t="s">
        <v>18</v>
      </c>
      <c r="I2" s="96"/>
      <c r="J2" s="180" t="s">
        <v>19</v>
      </c>
      <c r="K2" s="100" t="s">
        <v>18</v>
      </c>
      <c r="L2" s="51" t="s">
        <v>20</v>
      </c>
      <c r="M2" s="51" t="s">
        <v>21</v>
      </c>
      <c r="N2" s="51" t="s">
        <v>22</v>
      </c>
      <c r="P2" s="145" t="s">
        <v>23</v>
      </c>
    </row>
    <row r="3" spans="1:16" s="60" customFormat="1" ht="81.75" customHeight="1">
      <c r="A3" s="97">
        <v>46037.479143518518</v>
      </c>
      <c r="B3" s="35">
        <v>30000000</v>
      </c>
      <c r="C3" s="35">
        <v>30000000</v>
      </c>
      <c r="D3" s="144" t="s">
        <v>24</v>
      </c>
      <c r="E3" s="99" t="str">
        <f>HYPERLINK("https://tenderplus.kz/zakupki/43139312","Услуги по аренде виртуального выделенного сервера (VPS)")</f>
        <v>Услуги по аренде виртуального выделенного сервера (VPS)</v>
      </c>
      <c r="F3" s="98" t="str">
        <f>HYPERLINK("https://zakup.sk.kz/#/ext(popup:item/3810242/lot)","Самрук-Казына")</f>
        <v>Самрук-Казына</v>
      </c>
      <c r="G3" s="51" t="s">
        <v>17</v>
      </c>
      <c r="H3" s="76" t="s">
        <v>25</v>
      </c>
      <c r="I3" s="96"/>
      <c r="J3" s="181" t="s">
        <v>26</v>
      </c>
      <c r="K3" s="100" t="s">
        <v>18</v>
      </c>
      <c r="L3" s="32"/>
      <c r="M3" s="51" t="s">
        <v>21</v>
      </c>
      <c r="N3" s="32"/>
    </row>
    <row r="4" spans="1:16" s="60" customFormat="1" ht="81.75" customHeight="1">
      <c r="A4" s="131">
        <v>45673.446956018517</v>
      </c>
      <c r="B4" s="126">
        <v>8140739.2800000003</v>
      </c>
      <c r="C4" s="128">
        <v>8140739.2800000003</v>
      </c>
      <c r="D4" s="143" t="s">
        <v>27</v>
      </c>
      <c r="E4" s="138" t="str">
        <f>HYPERLINK("https://tenderplus.kz/zakupki/43169726","Услуги по аренде виртуального выделенного сервера (VPS)")</f>
        <v>Услуги по аренде виртуального выделенного сервера (VPS)</v>
      </c>
      <c r="F4" s="141" t="str">
        <f>HYPERLINK("https://zakup.sk.kz/#/ext(popup:item/3810242/lot)","Самрук-Казына")</f>
        <v>Самрук-Казына</v>
      </c>
      <c r="G4" s="127" t="s">
        <v>17</v>
      </c>
      <c r="H4" s="128" t="s">
        <v>25</v>
      </c>
      <c r="I4" s="129"/>
      <c r="J4" s="182" t="s">
        <v>28</v>
      </c>
      <c r="K4" s="100" t="s">
        <v>18</v>
      </c>
      <c r="L4" s="146" t="s">
        <v>29</v>
      </c>
      <c r="M4" s="147" t="s">
        <v>21</v>
      </c>
      <c r="N4" s="148"/>
    </row>
    <row r="5" spans="1:16" s="60" customFormat="1" ht="81.75" customHeight="1">
      <c r="A5" s="97">
        <v>46055</v>
      </c>
      <c r="B5" s="112">
        <v>15534750</v>
      </c>
      <c r="C5" s="62">
        <v>14840528.6</v>
      </c>
      <c r="D5" s="158" t="s">
        <v>30</v>
      </c>
      <c r="E5" s="121" t="s">
        <v>31</v>
      </c>
      <c r="F5" s="98" t="str">
        <f>HYPERLINK("https://zakup.sk.kz/#/ext(popup:item/3810242/lot)","Самрук-Казына")</f>
        <v>Самрук-Казына</v>
      </c>
      <c r="G5" s="117" t="s">
        <v>32</v>
      </c>
      <c r="H5" s="32" t="s">
        <v>25</v>
      </c>
      <c r="I5" s="32"/>
      <c r="J5" s="183" t="s">
        <v>33</v>
      </c>
      <c r="K5" s="100" t="s">
        <v>18</v>
      </c>
      <c r="L5" s="146" t="s">
        <v>34</v>
      </c>
      <c r="M5" s="119" t="s">
        <v>35</v>
      </c>
      <c r="N5" s="32"/>
    </row>
    <row r="6" spans="1:16" s="60" customFormat="1" ht="35.25" customHeight="1">
      <c r="A6" s="32"/>
      <c r="B6" s="32"/>
      <c r="C6" s="32"/>
      <c r="D6" s="159" t="s">
        <v>36</v>
      </c>
      <c r="E6" s="150" t="s">
        <v>37</v>
      </c>
      <c r="F6" s="32"/>
      <c r="G6" s="32"/>
      <c r="H6" s="32" t="s">
        <v>38</v>
      </c>
      <c r="I6" s="32"/>
      <c r="J6" s="149"/>
      <c r="K6" s="149" t="s">
        <v>39</v>
      </c>
      <c r="L6" s="149" t="s">
        <v>40</v>
      </c>
      <c r="M6" s="149"/>
      <c r="N6" s="32"/>
    </row>
    <row r="7" spans="1:16" s="60" customFormat="1" ht="159.75" hidden="1" customHeight="1">
      <c r="A7" s="32"/>
      <c r="B7" s="32"/>
      <c r="C7" s="32"/>
      <c r="D7" s="32" t="s">
        <v>41</v>
      </c>
      <c r="E7" s="32"/>
      <c r="F7" s="51" t="s">
        <v>42</v>
      </c>
      <c r="G7" s="32"/>
      <c r="H7" s="32" t="s">
        <v>18</v>
      </c>
      <c r="I7" s="32"/>
      <c r="J7" s="149"/>
      <c r="K7" s="149"/>
      <c r="L7" s="149"/>
      <c r="M7" s="149"/>
      <c r="N7" s="32"/>
    </row>
    <row r="8" spans="1:16" s="60" customFormat="1" ht="81.75" hidden="1" customHeight="1">
      <c r="A8" s="32"/>
      <c r="B8" s="32"/>
      <c r="C8" s="32"/>
      <c r="D8" s="32" t="s">
        <v>43</v>
      </c>
      <c r="E8" s="32"/>
      <c r="F8" s="32" t="s">
        <v>44</v>
      </c>
      <c r="G8" s="32"/>
      <c r="H8" s="32" t="s">
        <v>45</v>
      </c>
      <c r="I8" s="32"/>
      <c r="J8" s="149"/>
      <c r="K8" s="149"/>
      <c r="L8" s="149"/>
      <c r="M8" s="149"/>
      <c r="N8" s="32"/>
    </row>
    <row r="9" spans="1:16" s="60" customFormat="1" ht="81.75" hidden="1" customHeight="1">
      <c r="A9" s="32"/>
      <c r="B9" s="32"/>
      <c r="C9" s="32"/>
      <c r="D9" s="32" t="s">
        <v>46</v>
      </c>
      <c r="E9" s="32"/>
      <c r="F9" s="32" t="s">
        <v>44</v>
      </c>
      <c r="G9" s="32"/>
      <c r="H9" s="32" t="s">
        <v>45</v>
      </c>
      <c r="I9" s="32"/>
      <c r="J9" s="149"/>
      <c r="K9" s="151"/>
      <c r="L9" s="151"/>
      <c r="M9" s="149"/>
      <c r="N9" s="32"/>
    </row>
    <row r="10" spans="1:16" s="60" customFormat="1" ht="81.75" hidden="1" customHeight="1">
      <c r="A10" s="152"/>
      <c r="B10" s="152"/>
      <c r="C10" s="152"/>
      <c r="D10" s="152" t="s">
        <v>47</v>
      </c>
      <c r="E10" s="152"/>
      <c r="F10" s="153" t="s">
        <v>48</v>
      </c>
      <c r="G10" s="152"/>
      <c r="H10" s="152" t="s">
        <v>45</v>
      </c>
      <c r="I10" s="152"/>
      <c r="J10" s="151"/>
      <c r="K10" s="151"/>
      <c r="L10" s="151"/>
      <c r="M10" s="151"/>
      <c r="N10" s="152"/>
    </row>
    <row r="11" spans="1:16" s="60" customFormat="1" ht="29.25" hidden="1">
      <c r="A11" s="32"/>
      <c r="B11" s="32"/>
      <c r="C11" s="32"/>
      <c r="D11" s="32" t="s">
        <v>49</v>
      </c>
      <c r="E11" s="32"/>
      <c r="F11" s="51" t="s">
        <v>50</v>
      </c>
      <c r="G11" s="149"/>
      <c r="H11" s="32" t="s">
        <v>45</v>
      </c>
      <c r="I11" s="32"/>
      <c r="J11" s="152"/>
      <c r="K11" s="152"/>
      <c r="L11" s="32"/>
      <c r="M11" s="152"/>
      <c r="N11" s="32"/>
    </row>
    <row r="12" spans="1:16" s="60" customFormat="1" ht="29.25" hidden="1">
      <c r="A12" s="152"/>
      <c r="B12" s="152"/>
      <c r="C12" s="152"/>
      <c r="D12" s="152" t="s">
        <v>51</v>
      </c>
      <c r="E12" s="152"/>
      <c r="F12" s="67" t="s">
        <v>52</v>
      </c>
      <c r="G12" s="151"/>
      <c r="H12" s="152" t="s">
        <v>45</v>
      </c>
      <c r="I12" s="152"/>
      <c r="J12" s="152"/>
      <c r="K12" s="152"/>
      <c r="L12" s="152"/>
      <c r="M12" s="152"/>
      <c r="N12" s="152"/>
    </row>
    <row r="13" spans="1:16" s="60" customFormat="1" ht="43.5" hidden="1">
      <c r="A13" s="32"/>
      <c r="B13" s="32"/>
      <c r="C13" s="32"/>
      <c r="D13" s="32" t="s">
        <v>53</v>
      </c>
      <c r="E13" s="32"/>
      <c r="F13" s="51" t="s">
        <v>54</v>
      </c>
      <c r="G13" s="32"/>
      <c r="H13" s="32" t="s">
        <v>45</v>
      </c>
      <c r="I13" s="32"/>
      <c r="J13" s="32"/>
      <c r="K13" s="32"/>
      <c r="L13" s="32"/>
      <c r="M13" s="32"/>
      <c r="N13" s="32"/>
    </row>
    <row r="14" spans="1:16" s="60" customFormat="1" ht="29.25" hidden="1">
      <c r="A14" s="154"/>
      <c r="B14" s="154"/>
      <c r="C14" s="154"/>
      <c r="D14" s="154" t="s">
        <v>55</v>
      </c>
      <c r="E14" s="154"/>
      <c r="F14" s="155" t="s">
        <v>52</v>
      </c>
      <c r="G14" s="156"/>
      <c r="H14" s="154" t="s">
        <v>45</v>
      </c>
      <c r="I14" s="154"/>
      <c r="J14" s="154"/>
      <c r="K14" s="154"/>
      <c r="L14" s="154"/>
      <c r="M14" s="154"/>
      <c r="N14" s="154"/>
    </row>
    <row r="15" spans="1:16" s="60" customFormat="1" ht="29.25" hidden="1">
      <c r="A15" s="32"/>
      <c r="B15" s="32"/>
      <c r="C15" s="32"/>
      <c r="D15" s="32" t="s">
        <v>56</v>
      </c>
      <c r="E15" s="32"/>
      <c r="F15" s="51" t="s">
        <v>52</v>
      </c>
      <c r="G15" s="32"/>
      <c r="H15" s="32" t="s">
        <v>45</v>
      </c>
      <c r="I15" s="152"/>
      <c r="J15" s="152"/>
      <c r="K15" s="151"/>
      <c r="L15" s="151"/>
      <c r="M15" s="152"/>
      <c r="N15" s="157"/>
    </row>
    <row r="16" spans="1:16" s="60" customFormat="1">
      <c r="A16" s="114">
        <v>46042</v>
      </c>
      <c r="B16" s="134">
        <v>19900000</v>
      </c>
      <c r="C16" s="72">
        <v>19900000</v>
      </c>
      <c r="D16" s="160" t="s">
        <v>57</v>
      </c>
      <c r="E16" s="139" t="s">
        <v>58</v>
      </c>
      <c r="F16" s="71" t="s">
        <v>16</v>
      </c>
      <c r="G16" s="71" t="s">
        <v>59</v>
      </c>
      <c r="H16" s="77" t="s">
        <v>39</v>
      </c>
      <c r="I16" s="115"/>
      <c r="J16" s="116" t="s">
        <v>60</v>
      </c>
      <c r="K16" s="116"/>
      <c r="L16" s="152" t="s">
        <v>61</v>
      </c>
      <c r="M16" s="67" t="s">
        <v>21</v>
      </c>
      <c r="N16" s="152" t="s">
        <v>62</v>
      </c>
    </row>
    <row r="17" spans="1:14" s="60" customFormat="1" ht="91.5">
      <c r="A17" s="161">
        <v>46060.375</v>
      </c>
      <c r="B17" s="162">
        <v>37918188.880000003</v>
      </c>
      <c r="C17" s="163">
        <v>31573270</v>
      </c>
      <c r="D17" s="164" t="s">
        <v>63</v>
      </c>
      <c r="E17" s="165" t="s">
        <v>64</v>
      </c>
      <c r="F17" s="166" t="s">
        <v>16</v>
      </c>
      <c r="G17" s="167" t="s">
        <v>65</v>
      </c>
      <c r="H17" s="163" t="s">
        <v>39</v>
      </c>
      <c r="I17" s="168"/>
      <c r="J17" s="165" t="s">
        <v>66</v>
      </c>
      <c r="K17" s="165" t="s">
        <v>67</v>
      </c>
      <c r="L17" s="169"/>
      <c r="M17" s="167" t="s">
        <v>21</v>
      </c>
      <c r="N17" s="169" t="s">
        <v>68</v>
      </c>
    </row>
    <row r="18" spans="1:14" s="60" customFormat="1" ht="57.75">
      <c r="A18" s="131">
        <v>46031.620243055557</v>
      </c>
      <c r="B18" s="126">
        <v>68883260</v>
      </c>
      <c r="C18" s="128">
        <v>68883255.700000003</v>
      </c>
      <c r="D18" s="143" t="s">
        <v>69</v>
      </c>
      <c r="E18" s="138" t="str">
        <f>HYPERLINK("https://tenderplus.kz/zakupki/43029640","Услуги по аренде виртуального выделенного сервера (VPS)")</f>
        <v>Услуги по аренде виртуального выделенного сервера (VPS)</v>
      </c>
      <c r="F18" s="141" t="str">
        <f>HYPERLINK("https://zakup.sk.kz/#/ext(popup:item/3810242/lot)","Самрук-Казына")</f>
        <v>Самрук-Казына</v>
      </c>
      <c r="G18" s="127" t="s">
        <v>70</v>
      </c>
      <c r="H18" s="128" t="s">
        <v>39</v>
      </c>
      <c r="I18" s="148"/>
      <c r="J18" s="127" t="s">
        <v>71</v>
      </c>
      <c r="K18" s="127" t="s">
        <v>39</v>
      </c>
      <c r="L18" s="148" t="s">
        <v>72</v>
      </c>
      <c r="M18" s="127" t="s">
        <v>35</v>
      </c>
      <c r="N18" s="148"/>
    </row>
    <row r="19" spans="1:14" s="60" customFormat="1" ht="91.5">
      <c r="A19" s="95">
        <v>46050.375</v>
      </c>
      <c r="B19" s="35">
        <v>11914924.300000001</v>
      </c>
      <c r="C19" s="76">
        <v>11800000</v>
      </c>
      <c r="D19" s="170" t="s">
        <v>73</v>
      </c>
      <c r="E19" s="100" t="s">
        <v>74</v>
      </c>
      <c r="F19" s="53" t="s">
        <v>16</v>
      </c>
      <c r="G19" s="51" t="s">
        <v>75</v>
      </c>
      <c r="H19" s="76" t="s">
        <v>39</v>
      </c>
      <c r="I19" s="32"/>
      <c r="J19" s="51" t="s">
        <v>76</v>
      </c>
      <c r="K19" s="127" t="s">
        <v>39</v>
      </c>
      <c r="L19" s="32"/>
      <c r="M19" s="51" t="s">
        <v>35</v>
      </c>
      <c r="N19" s="51" t="s">
        <v>77</v>
      </c>
    </row>
    <row r="20" spans="1:14" s="60" customFormat="1" ht="29.25">
      <c r="A20" s="95">
        <v>46023</v>
      </c>
      <c r="B20" s="133">
        <v>33063600</v>
      </c>
      <c r="C20" s="136">
        <v>32900000</v>
      </c>
      <c r="D20" s="172" t="s">
        <v>78</v>
      </c>
      <c r="E20" s="121" t="s">
        <v>79</v>
      </c>
      <c r="F20" s="32" t="s">
        <v>80</v>
      </c>
      <c r="G20" s="32" t="s">
        <v>81</v>
      </c>
      <c r="H20" s="32" t="s">
        <v>82</v>
      </c>
      <c r="I20" s="32"/>
      <c r="J20" s="51" t="s">
        <v>83</v>
      </c>
      <c r="K20" s="51" t="s">
        <v>84</v>
      </c>
      <c r="L20" s="51" t="s">
        <v>85</v>
      </c>
      <c r="M20" s="51" t="s">
        <v>35</v>
      </c>
      <c r="N20" s="32"/>
    </row>
    <row r="21" spans="1:14" s="60" customFormat="1" ht="143.25" customHeight="1">
      <c r="A21" s="97">
        <v>46084.41233796296</v>
      </c>
      <c r="B21" s="177">
        <v>15625000</v>
      </c>
      <c r="C21" s="76">
        <v>15000000</v>
      </c>
      <c r="D21" s="130" t="s">
        <v>86</v>
      </c>
      <c r="E21" s="99" t="str">
        <f>HYPERLINK("https://tenderplus.kz/zakupki/44314557","Услуги по аренде виртуального выделенного сервера (VPS)")</f>
        <v>Услуги по аренде виртуального выделенного сервера (VPS)</v>
      </c>
      <c r="F21" s="53" t="s">
        <v>16</v>
      </c>
      <c r="G21" s="51" t="s">
        <v>87</v>
      </c>
      <c r="H21" s="76" t="s">
        <v>88</v>
      </c>
      <c r="I21" s="96"/>
      <c r="J21" s="175" t="s">
        <v>89</v>
      </c>
      <c r="K21" s="76" t="s">
        <v>67</v>
      </c>
      <c r="L21" s="32" t="s">
        <v>90</v>
      </c>
      <c r="M21" s="51" t="s">
        <v>21</v>
      </c>
      <c r="N21" s="32" t="s">
        <v>68</v>
      </c>
    </row>
    <row r="22" spans="1:14" s="60" customFormat="1" ht="65.25" customHeight="1">
      <c r="A22" s="95">
        <v>46095.864340277774</v>
      </c>
      <c r="B22" s="177">
        <v>471699685.52999997</v>
      </c>
      <c r="C22" s="135">
        <v>471699684.80000001</v>
      </c>
      <c r="D22" s="137" t="s">
        <v>91</v>
      </c>
      <c r="E22" s="100" t="str">
        <f>HYPERLINK("https://tenderplus.kz/zakupki/44583675","Услуги по аренде виртуального выделенного сервера (VPS)")</f>
        <v>Услуги по аренде виртуального выделенного сервера (VPS)</v>
      </c>
      <c r="F22" s="53" t="s">
        <v>16</v>
      </c>
      <c r="G22" s="51" t="s">
        <v>17</v>
      </c>
      <c r="H22" s="76" t="s">
        <v>67</v>
      </c>
      <c r="I22" s="96"/>
      <c r="J22" s="175" t="s">
        <v>92</v>
      </c>
      <c r="K22" s="76" t="s">
        <v>67</v>
      </c>
      <c r="L22" s="51" t="s">
        <v>93</v>
      </c>
      <c r="M22" s="51" t="s">
        <v>21</v>
      </c>
      <c r="N22" s="32" t="s">
        <v>62</v>
      </c>
    </row>
    <row r="23" spans="1:14" s="60" customFormat="1" ht="83.25" customHeight="1">
      <c r="A23" s="97">
        <v>46054.375</v>
      </c>
      <c r="B23" s="112">
        <v>25884821</v>
      </c>
      <c r="C23" s="62">
        <v>25444642.859999999</v>
      </c>
      <c r="D23" s="144" t="s">
        <v>94</v>
      </c>
      <c r="E23" s="121" t="s">
        <v>31</v>
      </c>
      <c r="F23" s="142" t="s">
        <v>16</v>
      </c>
      <c r="G23" s="51" t="s">
        <v>95</v>
      </c>
      <c r="H23" s="32" t="s">
        <v>96</v>
      </c>
      <c r="I23" s="32"/>
      <c r="J23" s="176" t="s">
        <v>97</v>
      </c>
      <c r="K23" s="76" t="s">
        <v>67</v>
      </c>
      <c r="L23" s="32"/>
      <c r="M23" s="51" t="s">
        <v>35</v>
      </c>
      <c r="N23" s="32" t="s">
        <v>68</v>
      </c>
    </row>
    <row r="24" spans="1:14" s="60" customFormat="1" ht="106.5">
      <c r="A24" s="95">
        <v>46315.493055555555</v>
      </c>
      <c r="B24" s="177">
        <v>15760934.74</v>
      </c>
      <c r="C24" s="76">
        <v>12608747.800000001</v>
      </c>
      <c r="D24" s="170" t="s">
        <v>98</v>
      </c>
      <c r="E24" s="100" t="s">
        <v>99</v>
      </c>
      <c r="F24" s="53" t="s">
        <v>16</v>
      </c>
      <c r="G24" s="51" t="s">
        <v>100</v>
      </c>
      <c r="H24" s="76" t="s">
        <v>101</v>
      </c>
      <c r="I24" s="96"/>
      <c r="J24" s="100" t="s">
        <v>102</v>
      </c>
      <c r="K24" s="51" t="s">
        <v>67</v>
      </c>
      <c r="L24" s="51" t="s">
        <v>103</v>
      </c>
      <c r="M24" s="51" t="s">
        <v>21</v>
      </c>
      <c r="N24" s="51" t="s">
        <v>104</v>
      </c>
    </row>
    <row r="25" spans="1:14" s="60" customFormat="1" ht="30.75">
      <c r="A25" s="95">
        <v>46099.610046296293</v>
      </c>
      <c r="B25" s="35">
        <v>15000000</v>
      </c>
      <c r="C25" s="76">
        <v>15000000</v>
      </c>
      <c r="D25" s="170" t="s">
        <v>105</v>
      </c>
      <c r="E25" s="100" t="str">
        <f>HYPERLINK("https://tenderplus.kz/zakupki/44639801","Услуги по аренде виртуального выделенного сервера (VPS)")</f>
        <v>Услуги по аренде виртуального выделенного сервера (VPS)</v>
      </c>
      <c r="F25" s="53" t="s">
        <v>16</v>
      </c>
      <c r="G25" s="51" t="s">
        <v>106</v>
      </c>
      <c r="H25" s="76" t="s">
        <v>101</v>
      </c>
      <c r="I25" s="96"/>
      <c r="J25" s="122" t="s">
        <v>102</v>
      </c>
      <c r="K25" s="51" t="s">
        <v>67</v>
      </c>
      <c r="L25" s="51" t="s">
        <v>107</v>
      </c>
      <c r="M25" s="51" t="s">
        <v>21</v>
      </c>
      <c r="N25" s="32" t="s">
        <v>62</v>
      </c>
    </row>
    <row r="26" spans="1:14" s="60" customFormat="1" ht="91.5">
      <c r="A26" s="95">
        <v>45797.375</v>
      </c>
      <c r="B26" s="178">
        <v>45626881.200000003</v>
      </c>
      <c r="C26" s="76">
        <v>29834761.079999998</v>
      </c>
      <c r="D26" s="170" t="s">
        <v>108</v>
      </c>
      <c r="E26" s="100" t="s">
        <v>109</v>
      </c>
      <c r="F26" s="53" t="s">
        <v>16</v>
      </c>
      <c r="G26" s="51" t="s">
        <v>110</v>
      </c>
      <c r="H26" s="32" t="s">
        <v>101</v>
      </c>
      <c r="I26" s="32"/>
      <c r="J26" s="51" t="s">
        <v>111</v>
      </c>
      <c r="K26" s="51" t="s">
        <v>112</v>
      </c>
      <c r="L26" s="32"/>
      <c r="M26" s="51" t="s">
        <v>35</v>
      </c>
      <c r="N26" s="51" t="s">
        <v>113</v>
      </c>
    </row>
    <row r="27" spans="1:14" s="60" customFormat="1" ht="57.75">
      <c r="A27" s="114">
        <v>46021</v>
      </c>
      <c r="B27" s="179">
        <v>93749648</v>
      </c>
      <c r="C27" s="132">
        <v>93749648</v>
      </c>
      <c r="D27" s="171" t="s">
        <v>114</v>
      </c>
      <c r="E27" s="120" t="s">
        <v>115</v>
      </c>
      <c r="F27" s="140" t="s">
        <v>116</v>
      </c>
      <c r="G27" s="67" t="s">
        <v>17</v>
      </c>
      <c r="H27" s="152" t="s">
        <v>101</v>
      </c>
      <c r="I27" s="152"/>
      <c r="J27" s="152" t="s">
        <v>117</v>
      </c>
      <c r="K27" s="152" t="s">
        <v>118</v>
      </c>
      <c r="L27" s="152" t="s">
        <v>119</v>
      </c>
      <c r="M27" s="67" t="s">
        <v>35</v>
      </c>
      <c r="N27" s="152"/>
    </row>
    <row r="28" spans="1:14" s="60" customFormat="1" hidden="1">
      <c r="A28" s="32"/>
      <c r="B28" s="32"/>
      <c r="C28" s="32"/>
      <c r="D28" s="32" t="s">
        <v>120</v>
      </c>
      <c r="E28" s="32"/>
      <c r="F28" s="32"/>
      <c r="G28" s="32"/>
      <c r="H28" s="32"/>
      <c r="I28" s="32"/>
      <c r="J28" s="32"/>
      <c r="K28" s="32"/>
      <c r="L28" s="32"/>
      <c r="M28" s="32"/>
      <c r="N28" s="32"/>
    </row>
    <row r="29" spans="1:14" s="60" customFormat="1" ht="87" hidden="1">
      <c r="A29" s="32"/>
      <c r="B29" s="32"/>
      <c r="C29" s="32"/>
      <c r="D29" s="51" t="s">
        <v>121</v>
      </c>
      <c r="E29" s="32"/>
      <c r="F29" s="51" t="s">
        <v>122</v>
      </c>
      <c r="G29" s="32"/>
      <c r="H29" s="32"/>
      <c r="I29" s="32"/>
      <c r="J29" s="32"/>
      <c r="K29" s="32"/>
      <c r="L29" s="32"/>
      <c r="M29" s="32"/>
      <c r="N29" s="32"/>
    </row>
    <row r="30" spans="1:14" s="60" customFormat="1" hidden="1">
      <c r="A30" s="32"/>
      <c r="B30" s="32"/>
      <c r="C30" s="32"/>
      <c r="D30" s="51" t="s">
        <v>123</v>
      </c>
      <c r="E30" s="32"/>
      <c r="F30" s="32"/>
      <c r="G30" s="32"/>
      <c r="H30" s="32"/>
      <c r="I30" s="32"/>
      <c r="J30" s="32"/>
      <c r="K30" s="32"/>
      <c r="L30" s="32"/>
      <c r="M30" s="32"/>
      <c r="N30" s="32"/>
    </row>
    <row r="31" spans="1:14" s="60" customFormat="1" hidden="1">
      <c r="A31" s="32"/>
      <c r="B31" s="32"/>
      <c r="C31" s="32"/>
      <c r="D31" s="32" t="s">
        <v>124</v>
      </c>
      <c r="E31" s="32"/>
      <c r="F31" s="32"/>
      <c r="G31" s="32"/>
      <c r="H31" s="32"/>
      <c r="I31" s="32"/>
      <c r="J31" s="32"/>
      <c r="K31" s="32"/>
      <c r="L31" s="32"/>
      <c r="M31" s="32"/>
      <c r="N31" s="32"/>
    </row>
    <row r="32" spans="1:14" s="60" customFormat="1">
      <c r="A32" s="32"/>
      <c r="B32" s="32"/>
      <c r="C32" s="32"/>
      <c r="D32" s="173" t="s">
        <v>125</v>
      </c>
      <c r="E32" s="150" t="s">
        <v>126</v>
      </c>
      <c r="F32" s="32"/>
      <c r="G32" s="32"/>
      <c r="H32" s="32"/>
      <c r="I32" s="32"/>
      <c r="J32" s="32"/>
      <c r="K32" s="32"/>
      <c r="L32" s="32"/>
      <c r="M32" s="32"/>
      <c r="N32" s="32"/>
    </row>
    <row r="33" spans="1:14" s="60" customFormat="1" hidden="1">
      <c r="A33" s="32"/>
      <c r="B33" s="32"/>
      <c r="C33" s="32"/>
      <c r="D33" s="51" t="s">
        <v>127</v>
      </c>
      <c r="E33" s="32"/>
      <c r="F33" s="32"/>
      <c r="G33" s="32"/>
      <c r="H33" s="32"/>
      <c r="I33" s="32"/>
      <c r="J33" s="32"/>
      <c r="K33" s="32"/>
      <c r="L33" s="32"/>
      <c r="M33" s="32"/>
      <c r="N33" s="32"/>
    </row>
    <row r="34" spans="1:14" s="60" customFormat="1">
      <c r="A34" s="32"/>
      <c r="B34" s="32"/>
      <c r="C34" s="32"/>
      <c r="D34" s="174" t="s">
        <v>128</v>
      </c>
      <c r="E34" s="150" t="s">
        <v>129</v>
      </c>
      <c r="F34" s="32"/>
      <c r="G34" s="32"/>
      <c r="H34" s="32"/>
      <c r="I34" s="32"/>
      <c r="J34" s="32"/>
      <c r="K34" s="32"/>
      <c r="L34" s="32"/>
      <c r="M34" s="32"/>
      <c r="N34" s="32"/>
    </row>
    <row r="35" spans="1:14" s="60" customFormat="1" hidden="1">
      <c r="A35" s="32"/>
      <c r="B35" s="32"/>
      <c r="C35" s="32"/>
      <c r="D35" s="32" t="s">
        <v>130</v>
      </c>
      <c r="E35" s="32"/>
      <c r="F35" s="32"/>
      <c r="G35" s="32"/>
      <c r="H35" s="32"/>
      <c r="I35" s="32"/>
      <c r="J35" s="32"/>
      <c r="K35" s="32"/>
      <c r="L35" s="32"/>
      <c r="M35" s="32"/>
      <c r="N35" s="32"/>
    </row>
    <row r="36" spans="1:14" s="60" customFormat="1" hidden="1">
      <c r="A36" s="32"/>
      <c r="B36" s="32"/>
      <c r="C36" s="32"/>
      <c r="D36" s="32" t="s">
        <v>131</v>
      </c>
      <c r="E36" s="32"/>
      <c r="F36" s="32"/>
      <c r="G36" s="32"/>
      <c r="H36" s="32"/>
      <c r="I36" s="32"/>
      <c r="J36" s="32"/>
      <c r="K36" s="32"/>
      <c r="L36" s="32"/>
      <c r="M36" s="32"/>
      <c r="N36" s="32"/>
    </row>
    <row r="37" spans="1:14" s="60" customFormat="1" hidden="1">
      <c r="A37" s="32"/>
      <c r="B37" s="32"/>
      <c r="C37" s="32"/>
      <c r="D37" s="32" t="s">
        <v>132</v>
      </c>
      <c r="E37" s="32"/>
      <c r="F37" s="32"/>
      <c r="G37" s="32"/>
      <c r="H37" s="32"/>
      <c r="I37" s="32"/>
      <c r="J37" s="32"/>
      <c r="K37" s="32"/>
      <c r="L37" s="32"/>
      <c r="M37" s="32"/>
      <c r="N37" s="32"/>
    </row>
    <row r="38" spans="1:14" s="60" customFormat="1" hidden="1">
      <c r="A38" s="32"/>
      <c r="B38" s="32"/>
      <c r="C38" s="32"/>
      <c r="D38" s="32" t="s">
        <v>133</v>
      </c>
      <c r="E38" s="32"/>
      <c r="F38" s="32"/>
      <c r="G38" s="32"/>
      <c r="H38" s="32"/>
      <c r="I38" s="32"/>
      <c r="J38" s="32"/>
      <c r="K38" s="32"/>
      <c r="L38" s="32"/>
      <c r="M38" s="32"/>
      <c r="N38" s="32"/>
    </row>
    <row r="39" spans="1:14" s="60" customFormat="1" hidden="1">
      <c r="A39" s="32"/>
      <c r="B39" s="32"/>
      <c r="C39" s="32"/>
      <c r="D39" s="32" t="s">
        <v>134</v>
      </c>
      <c r="E39" s="32"/>
      <c r="F39" s="32"/>
      <c r="G39" s="32"/>
      <c r="H39" s="32"/>
      <c r="I39" s="32"/>
      <c r="J39" s="32"/>
      <c r="K39" s="32"/>
      <c r="L39" s="32"/>
      <c r="M39" s="32"/>
      <c r="N39" s="32"/>
    </row>
    <row r="40" spans="1:14" s="60" customFormat="1" hidden="1">
      <c r="A40" s="32"/>
      <c r="B40" s="32"/>
      <c r="C40" s="32"/>
      <c r="D40" s="32" t="s">
        <v>135</v>
      </c>
      <c r="E40" s="32"/>
      <c r="F40" s="32"/>
      <c r="G40" s="32"/>
      <c r="H40" s="32"/>
      <c r="I40" s="32"/>
      <c r="J40" s="32"/>
      <c r="K40" s="32"/>
      <c r="L40" s="32"/>
      <c r="M40" s="32"/>
      <c r="N40" s="32"/>
    </row>
    <row r="41" spans="1:14" s="60" customFormat="1" hidden="1">
      <c r="A41" s="32"/>
      <c r="B41" s="32"/>
      <c r="C41" s="32"/>
      <c r="D41" s="32" t="s">
        <v>136</v>
      </c>
      <c r="E41" s="32"/>
      <c r="F41" s="32"/>
      <c r="G41" s="32"/>
      <c r="H41" s="32"/>
      <c r="I41" s="32"/>
      <c r="J41" s="32"/>
      <c r="K41" s="32"/>
      <c r="L41" s="32"/>
      <c r="M41" s="32"/>
      <c r="N41" s="32"/>
    </row>
    <row r="42" spans="1:14" s="60" customFormat="1" hidden="1">
      <c r="A42" s="32"/>
      <c r="B42" s="32"/>
      <c r="C42" s="32"/>
      <c r="D42" s="32" t="s">
        <v>137</v>
      </c>
      <c r="E42" s="32"/>
      <c r="F42" s="32"/>
      <c r="G42" s="32"/>
      <c r="H42" s="32"/>
      <c r="I42" s="32"/>
      <c r="J42" s="32"/>
      <c r="K42" s="32"/>
      <c r="L42" s="32"/>
      <c r="M42" s="32"/>
      <c r="N42" s="32"/>
    </row>
    <row r="43" spans="1:14" s="60" customFormat="1" hidden="1">
      <c r="A43" s="32"/>
      <c r="B43" s="32"/>
      <c r="C43" s="32"/>
      <c r="D43" s="32" t="s">
        <v>138</v>
      </c>
      <c r="E43" s="32"/>
      <c r="F43" s="32"/>
      <c r="G43" s="32"/>
      <c r="H43" s="32"/>
      <c r="I43" s="32"/>
      <c r="J43" s="32"/>
      <c r="K43" s="32"/>
      <c r="L43" s="32"/>
      <c r="M43" s="32"/>
      <c r="N43" s="32"/>
    </row>
    <row r="44" spans="1:14" s="60" customFormat="1" hidden="1">
      <c r="A44" s="32"/>
      <c r="B44" s="32"/>
      <c r="C44" s="32"/>
      <c r="D44" s="32" t="s">
        <v>139</v>
      </c>
      <c r="E44" s="32"/>
      <c r="F44" s="32"/>
      <c r="G44" s="32"/>
      <c r="H44" s="32"/>
      <c r="I44" s="32"/>
      <c r="J44" s="32"/>
      <c r="K44" s="32"/>
      <c r="L44" s="32"/>
      <c r="M44" s="32"/>
      <c r="N44" s="32"/>
    </row>
    <row r="45" spans="1:14" s="60" customFormat="1" hidden="1">
      <c r="A45" s="32"/>
      <c r="B45" s="32"/>
      <c r="C45" s="32"/>
      <c r="D45" s="32" t="s">
        <v>140</v>
      </c>
      <c r="E45" s="32"/>
      <c r="F45" s="32"/>
      <c r="G45" s="32"/>
      <c r="H45" s="32"/>
      <c r="I45" s="32"/>
      <c r="J45" s="32"/>
      <c r="K45" s="32"/>
      <c r="L45" s="32"/>
      <c r="M45" s="32"/>
      <c r="N45" s="32"/>
    </row>
    <row r="46" spans="1:14" s="60" customFormat="1" hidden="1">
      <c r="A46" s="32"/>
      <c r="B46" s="32"/>
      <c r="C46" s="32"/>
      <c r="D46" s="32" t="s">
        <v>141</v>
      </c>
      <c r="E46" s="32"/>
      <c r="F46" s="32"/>
      <c r="G46" s="32"/>
      <c r="H46" s="32"/>
      <c r="I46" s="32"/>
      <c r="J46" s="32"/>
      <c r="K46" s="32"/>
      <c r="L46" s="32"/>
      <c r="M46" s="32"/>
      <c r="N46" s="32"/>
    </row>
    <row r="47" spans="1:14" s="60" customFormat="1" hidden="1">
      <c r="A47" s="32"/>
      <c r="B47" s="32"/>
      <c r="C47" s="32"/>
      <c r="D47" s="32" t="s">
        <v>142</v>
      </c>
      <c r="E47" s="32"/>
      <c r="F47" s="32"/>
      <c r="G47" s="32"/>
      <c r="H47" s="32"/>
      <c r="I47" s="32"/>
      <c r="J47" s="32"/>
      <c r="K47" s="32"/>
      <c r="L47" s="32"/>
      <c r="M47" s="32"/>
      <c r="N47" s="32"/>
    </row>
    <row r="48" spans="1:14" s="60" customFormat="1" hidden="1">
      <c r="A48" s="32"/>
      <c r="B48" s="32"/>
      <c r="C48" s="32"/>
      <c r="D48" s="32" t="s">
        <v>143</v>
      </c>
      <c r="E48" s="32"/>
      <c r="F48" s="150" t="s">
        <v>144</v>
      </c>
      <c r="G48" s="32"/>
      <c r="H48" s="32"/>
      <c r="I48" s="32"/>
      <c r="J48" s="32"/>
      <c r="K48" s="32"/>
      <c r="L48" s="32"/>
      <c r="M48" s="32"/>
      <c r="N48" s="32"/>
    </row>
    <row r="49" spans="1:14" s="60" customFormat="1" hidden="1">
      <c r="A49" s="32"/>
      <c r="B49" s="32"/>
      <c r="C49" s="32"/>
      <c r="D49" s="32" t="s">
        <v>145</v>
      </c>
      <c r="E49" s="32"/>
      <c r="F49" s="150" t="s">
        <v>146</v>
      </c>
      <c r="G49" s="32"/>
      <c r="H49" s="32"/>
      <c r="I49" s="32"/>
      <c r="J49" s="32"/>
      <c r="K49" s="32"/>
      <c r="L49" s="32"/>
      <c r="M49" s="32"/>
      <c r="N49" s="32"/>
    </row>
    <row r="50" spans="1:14" s="60" customFormat="1" hidden="1">
      <c r="A50" s="32"/>
      <c r="B50" s="32"/>
      <c r="C50" s="32"/>
      <c r="D50" s="32" t="s">
        <v>147</v>
      </c>
      <c r="E50" s="32"/>
      <c r="F50" s="150" t="s">
        <v>148</v>
      </c>
      <c r="G50" s="32"/>
      <c r="H50" s="32"/>
      <c r="I50" s="32"/>
      <c r="J50" s="32"/>
      <c r="K50" s="32"/>
      <c r="L50" s="32"/>
      <c r="M50" s="32"/>
      <c r="N50" s="32"/>
    </row>
    <row r="51" spans="1:14" s="60" customFormat="1" hidden="1">
      <c r="A51" s="32"/>
      <c r="B51" s="32"/>
      <c r="C51" s="32"/>
      <c r="D51" s="32" t="s">
        <v>149</v>
      </c>
      <c r="E51" s="32"/>
      <c r="F51" s="150" t="s">
        <v>150</v>
      </c>
      <c r="G51" s="32"/>
      <c r="H51" s="32"/>
      <c r="I51" s="32"/>
      <c r="J51" s="32"/>
      <c r="K51" s="32"/>
      <c r="L51" s="32"/>
      <c r="M51" s="32"/>
      <c r="N51" s="32"/>
    </row>
    <row r="52" spans="1:14" s="60" customFormat="1" hidden="1">
      <c r="A52" s="32"/>
      <c r="B52" s="32"/>
      <c r="C52" s="32"/>
      <c r="D52" s="32" t="s">
        <v>151</v>
      </c>
      <c r="E52" s="32"/>
      <c r="F52" s="150" t="s">
        <v>152</v>
      </c>
      <c r="G52" s="32"/>
      <c r="H52" s="32"/>
      <c r="I52" s="32"/>
      <c r="J52" s="32"/>
      <c r="K52" s="32"/>
      <c r="L52" s="32"/>
      <c r="M52" s="32"/>
      <c r="N52" s="32"/>
    </row>
    <row r="53" spans="1:14" s="60" customFormat="1" hidden="1">
      <c r="A53" s="32"/>
      <c r="B53" s="32"/>
      <c r="C53" s="32"/>
      <c r="D53" s="32" t="s">
        <v>153</v>
      </c>
      <c r="E53" s="32"/>
      <c r="F53" s="150" t="s">
        <v>154</v>
      </c>
      <c r="G53" s="32"/>
      <c r="H53" s="32"/>
      <c r="I53" s="32"/>
      <c r="J53" s="32"/>
      <c r="K53" s="32"/>
      <c r="L53" s="32"/>
      <c r="M53" s="32"/>
      <c r="N53" s="32"/>
    </row>
    <row r="54" spans="1:14" s="60" customFormat="1" hidden="1">
      <c r="A54" s="32"/>
      <c r="B54" s="32"/>
      <c r="C54" s="32"/>
      <c r="D54" s="32" t="s">
        <v>155</v>
      </c>
      <c r="E54" s="32"/>
      <c r="F54" s="32"/>
      <c r="G54" s="32"/>
      <c r="H54" s="32"/>
      <c r="I54" s="32"/>
      <c r="J54" s="32"/>
      <c r="K54" s="32"/>
      <c r="L54" s="32"/>
      <c r="M54" s="32"/>
      <c r="N54" s="32"/>
    </row>
    <row r="55" spans="1:14" s="60" customFormat="1" hidden="1">
      <c r="A55" s="32"/>
      <c r="B55" s="32"/>
      <c r="C55" s="32"/>
      <c r="D55" s="32" t="s">
        <v>156</v>
      </c>
      <c r="E55" s="32"/>
      <c r="F55" s="32"/>
      <c r="G55" s="32"/>
      <c r="H55" s="32"/>
      <c r="I55" s="32"/>
      <c r="J55" s="32"/>
      <c r="K55" s="32"/>
      <c r="L55" s="32"/>
      <c r="M55" s="32"/>
      <c r="N55" s="32"/>
    </row>
    <row r="56" spans="1:14" s="60" customFormat="1" hidden="1">
      <c r="A56" s="32"/>
      <c r="B56" s="32"/>
      <c r="C56" s="32"/>
      <c r="D56" s="32" t="s">
        <v>157</v>
      </c>
      <c r="E56" s="32"/>
      <c r="F56" s="32"/>
      <c r="G56" s="32"/>
      <c r="H56" s="32"/>
      <c r="I56" s="32"/>
      <c r="J56" s="32"/>
      <c r="K56" s="32"/>
      <c r="L56" s="32"/>
      <c r="M56" s="32"/>
      <c r="N56" s="32"/>
    </row>
    <row r="57" spans="1:14" s="60" customFormat="1" hidden="1">
      <c r="A57" s="32"/>
      <c r="B57" s="32"/>
      <c r="C57" s="32"/>
      <c r="D57" s="32" t="s">
        <v>158</v>
      </c>
      <c r="E57" s="32"/>
      <c r="F57" s="32"/>
      <c r="G57" s="32"/>
      <c r="H57" s="32"/>
      <c r="I57" s="32"/>
      <c r="J57" s="32"/>
      <c r="K57" s="32"/>
      <c r="L57" s="32"/>
      <c r="M57" s="32"/>
      <c r="N57" s="32"/>
    </row>
    <row r="58" spans="1:14" s="60" customFormat="1" hidden="1">
      <c r="A58" s="32"/>
      <c r="B58" s="32"/>
      <c r="C58" s="32"/>
      <c r="D58" s="32" t="s">
        <v>159</v>
      </c>
      <c r="E58" s="32"/>
      <c r="F58" s="32"/>
      <c r="G58" s="32"/>
      <c r="H58" s="32"/>
      <c r="I58" s="32"/>
      <c r="J58" s="32"/>
      <c r="K58" s="32"/>
      <c r="L58" s="32"/>
      <c r="M58" s="32"/>
      <c r="N58" s="32"/>
    </row>
    <row r="59" spans="1:14" s="60" customFormat="1">
      <c r="A59" s="32"/>
      <c r="B59" s="32"/>
      <c r="C59" s="32"/>
      <c r="D59" s="173" t="s">
        <v>160</v>
      </c>
      <c r="E59" s="150" t="s">
        <v>161</v>
      </c>
      <c r="F59" s="32"/>
      <c r="G59" s="32"/>
      <c r="H59" s="32"/>
      <c r="I59" s="32"/>
      <c r="J59" s="32"/>
      <c r="K59" s="32"/>
      <c r="L59" s="32"/>
      <c r="M59" s="32"/>
      <c r="N59" s="32"/>
    </row>
    <row r="60" spans="1:14" s="60" customFormat="1" hidden="1">
      <c r="A60" s="32"/>
      <c r="B60" s="32"/>
      <c r="C60" s="32"/>
      <c r="D60" s="51" t="s">
        <v>162</v>
      </c>
      <c r="E60" s="32"/>
      <c r="F60" s="32"/>
      <c r="G60" s="32"/>
      <c r="H60" s="32"/>
      <c r="I60" s="32"/>
      <c r="J60" s="32"/>
      <c r="K60" s="32"/>
      <c r="L60" s="32"/>
      <c r="M60" s="32"/>
      <c r="N60" s="32"/>
    </row>
    <row r="61" spans="1:14" s="60" customFormat="1" hidden="1">
      <c r="A61" s="32"/>
      <c r="B61" s="32"/>
      <c r="C61" s="32"/>
      <c r="D61" s="32" t="s">
        <v>163</v>
      </c>
      <c r="E61" s="32"/>
      <c r="F61" s="32"/>
      <c r="G61" s="32"/>
      <c r="H61" s="32"/>
      <c r="I61" s="32"/>
      <c r="J61" s="32"/>
      <c r="K61" s="32"/>
      <c r="L61" s="32"/>
      <c r="M61" s="32"/>
      <c r="N61" s="32"/>
    </row>
    <row r="62" spans="1:14" s="60" customFormat="1" hidden="1">
      <c r="A62" s="152"/>
      <c r="B62" s="152"/>
      <c r="C62" s="152"/>
      <c r="D62" s="152" t="s">
        <v>164</v>
      </c>
      <c r="E62" s="152"/>
      <c r="F62" s="152"/>
      <c r="G62" s="152"/>
      <c r="H62" s="152"/>
      <c r="I62" s="152"/>
      <c r="J62" s="152"/>
      <c r="K62" s="152"/>
      <c r="L62" s="152"/>
      <c r="M62" s="152"/>
      <c r="N62" s="152"/>
    </row>
    <row r="63" spans="1:14" s="60" customFormat="1" hidden="1">
      <c r="A63" s="32"/>
      <c r="B63" s="32"/>
      <c r="C63" s="32"/>
      <c r="D63" s="32" t="s">
        <v>165</v>
      </c>
      <c r="E63" s="32"/>
      <c r="F63" s="32"/>
      <c r="G63" s="32"/>
      <c r="H63" s="32"/>
      <c r="I63" s="32"/>
      <c r="J63" s="32"/>
      <c r="K63" s="32"/>
      <c r="L63" s="32"/>
      <c r="M63" s="32"/>
      <c r="N63" s="32"/>
    </row>
    <row r="64" spans="1:14" s="60" customFormat="1" hidden="1">
      <c r="A64" s="32"/>
      <c r="B64" s="32"/>
      <c r="C64" s="32"/>
      <c r="D64" s="32" t="s">
        <v>166</v>
      </c>
      <c r="E64" s="32"/>
      <c r="F64" s="32"/>
      <c r="G64" s="32"/>
      <c r="H64" s="32"/>
      <c r="I64" s="32"/>
      <c r="J64" s="32"/>
      <c r="K64" s="32"/>
      <c r="L64" s="32"/>
      <c r="M64" s="32"/>
      <c r="N64" s="32"/>
    </row>
    <row r="65" spans="1:14" s="60" customFormat="1" ht="29.25" hidden="1">
      <c r="A65" s="32"/>
      <c r="B65" s="32"/>
      <c r="C65" s="32"/>
      <c r="D65" s="51" t="s">
        <v>167</v>
      </c>
      <c r="E65" s="32"/>
      <c r="F65" s="32"/>
      <c r="G65" s="32"/>
      <c r="H65" s="32"/>
      <c r="I65" s="32"/>
      <c r="J65" s="32"/>
      <c r="K65" s="32"/>
      <c r="L65" s="32"/>
      <c r="M65" s="32"/>
      <c r="N65" s="32"/>
    </row>
    <row r="66" spans="1:14" s="60" customFormat="1" hidden="1">
      <c r="A66" s="32"/>
      <c r="B66" s="32"/>
      <c r="C66" s="32"/>
      <c r="D66" s="32" t="s">
        <v>168</v>
      </c>
      <c r="E66" s="32"/>
      <c r="F66" s="32"/>
      <c r="G66" s="32"/>
      <c r="H66" s="32"/>
      <c r="I66" s="32"/>
      <c r="J66" s="32"/>
      <c r="K66" s="32"/>
      <c r="L66" s="32"/>
      <c r="M66" s="32"/>
      <c r="N66" s="32"/>
    </row>
    <row r="67" spans="1:14" s="60" customFormat="1" hidden="1">
      <c r="A67" s="32"/>
      <c r="B67" s="32"/>
      <c r="C67" s="32"/>
      <c r="D67" s="32" t="s">
        <v>169</v>
      </c>
      <c r="E67" s="32"/>
      <c r="F67" s="32"/>
      <c r="G67" s="32"/>
      <c r="H67" s="32"/>
      <c r="I67" s="32"/>
      <c r="J67" s="32"/>
      <c r="K67" s="32"/>
      <c r="L67" s="32"/>
      <c r="M67" s="32"/>
      <c r="N67" s="32"/>
    </row>
    <row r="68" spans="1:14" s="60" customFormat="1" ht="29.25" hidden="1">
      <c r="A68" s="32"/>
      <c r="B68" s="32"/>
      <c r="C68" s="32"/>
      <c r="D68" s="51" t="s">
        <v>170</v>
      </c>
      <c r="E68" s="32"/>
      <c r="F68" s="32"/>
      <c r="G68" s="32"/>
      <c r="H68" s="32"/>
      <c r="I68" s="32"/>
      <c r="J68" s="32"/>
      <c r="K68" s="32"/>
      <c r="L68" s="32"/>
      <c r="M68" s="32"/>
      <c r="N68" s="32"/>
    </row>
    <row r="69" spans="1:14" s="60" customFormat="1" hidden="1">
      <c r="A69" s="32"/>
      <c r="B69" s="32"/>
      <c r="C69" s="32"/>
      <c r="D69" s="32" t="s">
        <v>171</v>
      </c>
      <c r="E69" s="32"/>
      <c r="F69" s="32"/>
      <c r="G69" s="32"/>
      <c r="H69" s="32"/>
      <c r="I69" s="32"/>
      <c r="J69" s="32"/>
      <c r="K69" s="32"/>
      <c r="L69" s="32"/>
      <c r="M69" s="32"/>
      <c r="N69" s="32"/>
    </row>
    <row r="70" spans="1:14" s="60" customFormat="1" hidden="1">
      <c r="A70" s="32"/>
      <c r="B70" s="32"/>
      <c r="C70" s="32"/>
      <c r="D70" s="32" t="s">
        <v>172</v>
      </c>
      <c r="E70" s="32"/>
      <c r="F70" s="32"/>
      <c r="G70" s="32"/>
      <c r="H70" s="32"/>
      <c r="I70" s="32"/>
      <c r="J70" s="32"/>
      <c r="K70" s="32"/>
      <c r="L70" s="32"/>
      <c r="M70" s="32"/>
      <c r="N70" s="32"/>
    </row>
    <row r="71" spans="1:14" s="60" customFormat="1" hidden="1">
      <c r="A71" s="32"/>
      <c r="B71" s="32"/>
      <c r="C71" s="32"/>
      <c r="D71" s="32" t="s">
        <v>173</v>
      </c>
      <c r="E71" s="32"/>
      <c r="F71" s="32"/>
      <c r="G71" s="32"/>
      <c r="H71" s="32"/>
      <c r="I71" s="32"/>
      <c r="J71" s="32"/>
      <c r="K71" s="32"/>
      <c r="L71" s="32"/>
      <c r="M71" s="32"/>
      <c r="N71" s="32"/>
    </row>
    <row r="72" spans="1:14" s="60" customFormat="1">
      <c r="A72" s="32"/>
      <c r="B72" s="32"/>
      <c r="C72" s="32"/>
      <c r="D72" s="174" t="s">
        <v>174</v>
      </c>
      <c r="E72" s="150" t="s">
        <v>175</v>
      </c>
      <c r="F72" s="32"/>
      <c r="G72" s="32"/>
      <c r="H72" s="32"/>
      <c r="I72" s="32"/>
      <c r="J72" s="32"/>
      <c r="K72" s="32"/>
      <c r="L72" s="32"/>
      <c r="M72" s="32"/>
      <c r="N72" s="32"/>
    </row>
    <row r="73" spans="1:14" s="60" customFormat="1">
      <c r="A73" s="32"/>
      <c r="B73" s="32"/>
      <c r="C73" s="32"/>
      <c r="D73" s="174" t="s">
        <v>176</v>
      </c>
      <c r="E73" s="150" t="s">
        <v>177</v>
      </c>
      <c r="F73" s="32"/>
      <c r="G73" s="32"/>
      <c r="H73" s="32"/>
      <c r="I73" s="32"/>
      <c r="J73" s="32"/>
      <c r="K73" s="32"/>
      <c r="L73" s="32"/>
      <c r="M73" s="32"/>
      <c r="N73" s="32"/>
    </row>
    <row r="74" spans="1:14" s="60" customFormat="1">
      <c r="A74" s="32"/>
      <c r="B74" s="32"/>
      <c r="C74" s="32"/>
      <c r="D74" s="174" t="s">
        <v>178</v>
      </c>
      <c r="E74" s="150" t="s">
        <v>179</v>
      </c>
      <c r="F74" s="32"/>
      <c r="G74" s="32"/>
      <c r="H74" s="32"/>
      <c r="I74" s="32"/>
      <c r="J74" s="32"/>
      <c r="K74" s="32"/>
      <c r="L74" s="32"/>
      <c r="M74" s="32"/>
      <c r="N74" s="32"/>
    </row>
    <row r="75" spans="1:14" s="60" customFormat="1" hidden="1">
      <c r="A75" s="152"/>
      <c r="B75" s="152"/>
      <c r="C75" s="152"/>
      <c r="D75" s="152" t="s">
        <v>180</v>
      </c>
      <c r="E75" s="152"/>
      <c r="F75" s="152"/>
      <c r="G75" s="152"/>
      <c r="H75" s="152"/>
      <c r="I75" s="152"/>
      <c r="J75" s="152"/>
      <c r="K75" s="152"/>
      <c r="L75" s="152"/>
      <c r="M75" s="152"/>
      <c r="N75" s="152"/>
    </row>
    <row r="76" spans="1:14" s="60" customFormat="1" hidden="1">
      <c r="A76" s="32"/>
      <c r="B76" s="32"/>
      <c r="C76" s="32"/>
      <c r="D76" s="32" t="s">
        <v>181</v>
      </c>
      <c r="E76" s="32"/>
      <c r="F76" s="32"/>
      <c r="G76" s="32"/>
      <c r="H76" s="32"/>
      <c r="I76" s="32"/>
      <c r="J76" s="32"/>
      <c r="K76" s="32"/>
      <c r="L76" s="32"/>
      <c r="M76" s="32"/>
      <c r="N76" s="32"/>
    </row>
    <row r="77" spans="1:14" s="60" customFormat="1" hidden="1">
      <c r="A77" s="32"/>
      <c r="B77" s="32"/>
      <c r="C77" s="32"/>
      <c r="D77" s="32" t="s">
        <v>182</v>
      </c>
      <c r="E77" s="32"/>
      <c r="F77" s="32"/>
      <c r="G77" s="32"/>
      <c r="H77" s="32"/>
      <c r="I77" s="32"/>
      <c r="J77" s="32"/>
      <c r="K77" s="32"/>
      <c r="L77" s="32"/>
      <c r="M77" s="32"/>
      <c r="N77" s="32"/>
    </row>
    <row r="78" spans="1:14" s="60" customFormat="1" hidden="1">
      <c r="D78" s="60" t="s">
        <v>183</v>
      </c>
    </row>
  </sheetData>
  <autoFilter ref="A1:N78" xr:uid="{F2067C8E-1F59-4427-AEEF-C77A4B5EDFA8}">
    <filterColumn colId="4">
      <filters>
        <filter val="=ГИПЕРССЫЛКА(&quot;https://tenderplus.kz/zakupki/43313569&quot;,&quot;Услуги по аренде виртуального выделенного сервера (VPS)&quot;)"/>
        <filter val="=ГИПЕРССЫЛКА(&quot;https://tenderplus.kz/zakupki/43527001&quot;,&quot;Услуги по аренде виртуального выделенного сервера (VPS)&quot;)"/>
        <filter val="=ГИПЕРССЫЛКА(&quot;https://tenderplus.kz/zakupki/47819091&quot;,&quot;Услуги по аренде виртуального выделенного сервера (VPS) Услуги по аренде виртуального выделенного сервера (VPS)&quot;)"/>
        <filter val="=ГИПЕРССЫЛКА(&quot;https://tenderplus.kz/zakupki/49176071&quot;,&quot;Услуги по аренде виртуального выделенного сервера (VPS)&quot;)"/>
        <filter val="https://tenderplus.kz/zakupki/35623273"/>
        <filter val="https://tenderplus.kz/zakupki/37671231"/>
        <filter val="https://tenderplus.kz/zakupki/37969534"/>
        <filter val="https://tenderplus.kz/zakupki/43061257"/>
        <filter val="https://tenderplus.kz/zakupki/48244567"/>
        <filter val="https://tenderplus.kz/zakupki/48646224"/>
        <filter val="https://tenderplus.kz/zakupki/49130850"/>
        <filter val="Услуги аренды сервернерной инфраструктуры"/>
        <filter val="Услуги виртуального сервера (VPS) по модели IaaS"/>
        <filter val="Услуги по аренде виртуального выделенного сервера (VPS)"/>
        <filter val="Услуги по аренде серверного оборудования"/>
        <filter val="Услуги по предоставлению вычислительных мощностей для физического размещения информации на сервере, постоянно находящемся в сети Интернет"/>
      </filters>
    </filterColumn>
    <sortState xmlns:xlrd2="http://schemas.microsoft.com/office/spreadsheetml/2017/richdata2" ref="A2:N78">
      <sortCondition ref="H1:H78"/>
    </sortState>
  </autoFilter>
  <hyperlinks>
    <hyperlink ref="E2" r:id="rId1" xr:uid="{710D705F-B76F-4ED8-B65A-375720C58C3E}"/>
    <hyperlink ref="E16" r:id="rId2" xr:uid="{8D67F885-3280-43D2-89AF-2FA19182910B}"/>
    <hyperlink ref="E23" r:id="rId3" xr:uid="{17A6C01E-5AA8-4AC9-893E-7ED8C3FEFBC2}"/>
    <hyperlink ref="E5" r:id="rId4" xr:uid="{1ECB2718-592F-4F80-AEC6-FFC6A79D7FC1}"/>
    <hyperlink ref="E20" r:id="rId5" xr:uid="{271F9FAF-C991-4123-8914-71FD148DCE80}"/>
    <hyperlink ref="E27" r:id="rId6" xr:uid="{A8100A4C-B911-48EA-87F4-8F40879C6FBF}"/>
    <hyperlink ref="F10" r:id="rId7" xr:uid="{23F283B4-45F1-41CC-A094-6C3FDCD16EAB}"/>
    <hyperlink ref="P2" r:id="rId8" xr:uid="{DA89039E-5257-4941-9C05-0CD02CF3168C}"/>
    <hyperlink ref="F48" r:id="rId9" xr:uid="{7F798DE2-7A91-44C2-96B7-70FE50C5586F}"/>
    <hyperlink ref="F49" r:id="rId10" xr:uid="{D8102A90-0874-4C83-B421-D0D906E21213}"/>
    <hyperlink ref="F50" r:id="rId11" xr:uid="{98CBAA72-986A-4457-84D1-2743A9DF6826}"/>
    <hyperlink ref="F51" r:id="rId12" xr:uid="{258E5911-0DAE-4A3C-932C-FC5A5F5CC719}"/>
    <hyperlink ref="F52" r:id="rId13" xr:uid="{412BCDB7-44DD-46F3-B2D9-CDEC14B98878}"/>
    <hyperlink ref="F53" r:id="rId14" xr:uid="{8F0619F3-2492-45D1-97C4-D4AA4E3ACFF2}"/>
    <hyperlink ref="E32" r:id="rId15" xr:uid="{D587FC1D-17D5-42E2-8D4E-5DC87654D388}"/>
    <hyperlink ref="E34" r:id="rId16" xr:uid="{E5A61790-06FB-42BF-9654-EB0937B4D82C}"/>
    <hyperlink ref="E59" r:id="rId17" xr:uid="{1BA7B4A0-4BDC-4C4B-947A-905D48A32D7F}"/>
    <hyperlink ref="E72" r:id="rId18" xr:uid="{4A7DDF4A-DFDA-47F3-8993-5799C4EDF6C1}"/>
    <hyperlink ref="E73" r:id="rId19" xr:uid="{947D33F5-1119-493B-9B6A-D90E6365F2F4}"/>
    <hyperlink ref="E74" r:id="rId20" xr:uid="{E1A62BCF-D61E-4211-812C-223CDC2B8D17}"/>
    <hyperlink ref="E6" r:id="rId21" xr:uid="{906B41BB-4B47-485F-9D78-BB22737603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F0124-AA10-45CC-B7C9-B37798AB6596}">
  <dimension ref="A1:AD316"/>
  <sheetViews>
    <sheetView tabSelected="1" workbookViewId="0">
      <pane ySplit="1" topLeftCell="A67" activePane="bottomLeft" state="frozen"/>
      <selection pane="bottomLeft" activeCell="I67" sqref="I67"/>
    </sheetView>
  </sheetViews>
  <sheetFormatPr defaultColWidth="9.140625" defaultRowHeight="15"/>
  <cols>
    <col min="1" max="1" width="9.140625" style="15" customWidth="1"/>
    <col min="2" max="2" width="12.5703125" style="15" customWidth="1"/>
    <col min="3" max="3" width="17.28515625" style="15" bestFit="1" customWidth="1"/>
    <col min="4" max="4" width="14.85546875" style="15" customWidth="1"/>
    <col min="5" max="5" width="19.140625" style="15" customWidth="1"/>
    <col min="6" max="6" width="15.85546875" style="15" customWidth="1"/>
    <col min="7" max="7" width="16.140625" style="58" customWidth="1"/>
    <col min="8" max="8" width="14.42578125" style="15" hidden="1" customWidth="1"/>
    <col min="9" max="9" width="62" style="15" customWidth="1"/>
    <col min="10" max="10" width="50.140625" style="15" customWidth="1"/>
    <col min="11" max="12" width="28.140625" style="15" customWidth="1"/>
    <col min="13" max="13" width="22.42578125" style="15" customWidth="1"/>
    <col min="14" max="14" width="22.42578125" style="14" customWidth="1"/>
    <col min="15" max="16" width="22.42578125" style="15" customWidth="1"/>
    <col min="17" max="17" width="27.7109375" style="15" bestFit="1" customWidth="1"/>
    <col min="18" max="18" width="32.85546875" style="15" bestFit="1" customWidth="1"/>
    <col min="19" max="20" width="38.28515625" style="15" customWidth="1"/>
    <col min="21" max="21" width="36.42578125" style="15" customWidth="1"/>
    <col min="22" max="23" width="16.140625" style="15" customWidth="1"/>
    <col min="24" max="24" width="16.140625" style="58" customWidth="1"/>
    <col min="25" max="25" width="23.28515625" style="14" customWidth="1"/>
    <col min="26" max="26" width="21.7109375" style="14" bestFit="1" customWidth="1"/>
    <col min="27" max="27" width="17.140625" style="14" bestFit="1" customWidth="1"/>
    <col min="28" max="29" width="36.5703125" style="14" bestFit="1" customWidth="1"/>
    <col min="30" max="30" width="29.28515625" style="14" customWidth="1"/>
    <col min="31" max="16384" width="9.140625" style="14"/>
  </cols>
  <sheetData>
    <row r="1" spans="1:30" ht="43.5">
      <c r="A1" s="193" t="s">
        <v>184</v>
      </c>
      <c r="B1" s="193" t="s">
        <v>185</v>
      </c>
      <c r="C1" s="194" t="s">
        <v>186</v>
      </c>
      <c r="D1" s="193" t="s">
        <v>0</v>
      </c>
      <c r="E1" s="193" t="s">
        <v>187</v>
      </c>
      <c r="F1" s="194" t="s">
        <v>1</v>
      </c>
      <c r="G1" s="195" t="s">
        <v>2</v>
      </c>
      <c r="H1" s="194" t="s">
        <v>188</v>
      </c>
      <c r="I1" s="193" t="s">
        <v>3</v>
      </c>
      <c r="J1" s="194" t="s">
        <v>4</v>
      </c>
      <c r="K1" s="194" t="s">
        <v>189</v>
      </c>
      <c r="L1" s="194" t="s">
        <v>5</v>
      </c>
      <c r="M1" s="194" t="s">
        <v>190</v>
      </c>
      <c r="N1" s="196" t="s">
        <v>6</v>
      </c>
      <c r="O1" s="193" t="s">
        <v>191</v>
      </c>
      <c r="P1" s="194" t="s">
        <v>192</v>
      </c>
      <c r="Q1" s="193" t="s">
        <v>193</v>
      </c>
      <c r="R1" s="193" t="s">
        <v>194</v>
      </c>
      <c r="S1" s="194" t="s">
        <v>195</v>
      </c>
      <c r="T1" s="194" t="s">
        <v>196</v>
      </c>
      <c r="U1" s="196" t="s">
        <v>197</v>
      </c>
      <c r="V1" s="196" t="s">
        <v>198</v>
      </c>
      <c r="W1" s="196" t="s">
        <v>199</v>
      </c>
      <c r="X1" s="195" t="s">
        <v>200</v>
      </c>
      <c r="Y1" s="196" t="s">
        <v>201</v>
      </c>
    </row>
    <row r="2" spans="1:30" ht="29.25">
      <c r="A2" s="197">
        <v>48</v>
      </c>
      <c r="B2" s="197" t="s">
        <v>202</v>
      </c>
      <c r="C2" s="190" t="s">
        <v>18</v>
      </c>
      <c r="D2" s="184">
        <v>45976</v>
      </c>
      <c r="E2" s="197"/>
      <c r="F2" s="198" t="s">
        <v>203</v>
      </c>
      <c r="G2" s="199"/>
      <c r="H2" s="197"/>
      <c r="I2" s="190" t="s">
        <v>204</v>
      </c>
      <c r="J2" s="190" t="s">
        <v>205</v>
      </c>
      <c r="K2" s="190"/>
      <c r="L2" s="190" t="s">
        <v>116</v>
      </c>
      <c r="M2" s="190" t="s">
        <v>206</v>
      </c>
      <c r="N2" s="190"/>
      <c r="O2" s="190"/>
      <c r="P2" s="190"/>
      <c r="Q2" s="197" t="s">
        <v>203</v>
      </c>
      <c r="R2" s="197" t="s">
        <v>203</v>
      </c>
      <c r="S2" s="190" t="s">
        <v>184</v>
      </c>
      <c r="T2" s="190" t="s">
        <v>203</v>
      </c>
      <c r="U2" s="190" t="s">
        <v>207</v>
      </c>
      <c r="V2" s="190"/>
      <c r="W2" s="190"/>
      <c r="X2" s="200">
        <v>0</v>
      </c>
      <c r="Y2" s="15"/>
      <c r="AA2" s="185" t="s">
        <v>208</v>
      </c>
      <c r="AB2" s="186" t="s">
        <v>209</v>
      </c>
      <c r="AC2" s="187" t="s">
        <v>210</v>
      </c>
      <c r="AD2" s="187" t="s">
        <v>211</v>
      </c>
    </row>
    <row r="3" spans="1:30" ht="29.25">
      <c r="A3" s="15">
        <v>136</v>
      </c>
      <c r="D3" s="201">
        <v>46112.375</v>
      </c>
      <c r="F3" s="202">
        <v>775603292.88999999</v>
      </c>
      <c r="G3" s="57"/>
      <c r="I3" s="203" t="s">
        <v>212</v>
      </c>
      <c r="J3" s="188" t="str">
        <f>HYPERLINK("https://tenderplus.kz/zakupki/44800486","Услуги облачного сервиса")</f>
        <v>Услуги облачного сервиса</v>
      </c>
      <c r="K3" s="188"/>
      <c r="L3" s="204" t="s">
        <v>16</v>
      </c>
      <c r="N3" s="205" t="s">
        <v>213</v>
      </c>
      <c r="X3" s="200"/>
      <c r="Y3" s="15"/>
      <c r="AA3" s="190"/>
      <c r="AB3" s="190"/>
      <c r="AC3" s="190"/>
      <c r="AD3" s="190"/>
    </row>
    <row r="4" spans="1:30" ht="57.75">
      <c r="A4" s="15">
        <v>137</v>
      </c>
      <c r="C4" s="15" t="s">
        <v>214</v>
      </c>
      <c r="D4" s="201">
        <v>46066.208333333336</v>
      </c>
      <c r="F4" s="202">
        <v>649972455.29999995</v>
      </c>
      <c r="G4" s="57">
        <v>649972436</v>
      </c>
      <c r="I4" s="203" t="s">
        <v>215</v>
      </c>
      <c r="J4" s="188" t="str">
        <f>HYPERLINK("https://tenderplus.kz/zakupki/44060189","Услуги по аренде виртуального выделенного сервера (VPS)")</f>
        <v>Услуги по аренде виртуального выделенного сервера (VPS)</v>
      </c>
      <c r="K4" s="188"/>
      <c r="L4" s="204" t="s">
        <v>16</v>
      </c>
      <c r="N4" s="205" t="s">
        <v>70</v>
      </c>
      <c r="X4" s="200">
        <f>(G4-F4)/F4</f>
        <v>-2.9693565927202586E-8</v>
      </c>
      <c r="Y4" s="15"/>
    </row>
    <row r="5" spans="1:30" ht="29.25">
      <c r="A5" s="197">
        <v>35</v>
      </c>
      <c r="B5" s="197"/>
      <c r="C5" s="190" t="s">
        <v>39</v>
      </c>
      <c r="D5" s="184">
        <v>46023</v>
      </c>
      <c r="E5" s="206" t="s">
        <v>216</v>
      </c>
      <c r="F5" s="207">
        <v>647625000</v>
      </c>
      <c r="G5" s="207">
        <v>647625000</v>
      </c>
      <c r="H5" s="190"/>
      <c r="I5" s="190" t="s">
        <v>217</v>
      </c>
      <c r="J5" s="208" t="s">
        <v>58</v>
      </c>
      <c r="K5" s="208"/>
      <c r="L5" s="190" t="s">
        <v>80</v>
      </c>
      <c r="M5" s="190" t="s">
        <v>218</v>
      </c>
      <c r="N5" s="190" t="s">
        <v>219</v>
      </c>
      <c r="O5" s="190"/>
      <c r="P5" s="208"/>
      <c r="Q5" s="197" t="s">
        <v>220</v>
      </c>
      <c r="R5" s="197" t="s">
        <v>221</v>
      </c>
      <c r="S5" s="190" t="s">
        <v>203</v>
      </c>
      <c r="T5" s="190" t="s">
        <v>203</v>
      </c>
      <c r="U5" s="190" t="s">
        <v>222</v>
      </c>
      <c r="V5" s="190"/>
      <c r="W5" s="190"/>
      <c r="X5" s="200">
        <f>(G5-F5)/F5</f>
        <v>0</v>
      </c>
      <c r="Y5" s="15"/>
    </row>
    <row r="6" spans="1:30" ht="29.25">
      <c r="A6" s="197">
        <v>20</v>
      </c>
      <c r="B6" s="197"/>
      <c r="C6" s="190" t="s">
        <v>67</v>
      </c>
      <c r="D6" s="184">
        <v>46032</v>
      </c>
      <c r="E6" s="206" t="s">
        <v>223</v>
      </c>
      <c r="F6" s="198">
        <v>471699685.52999997</v>
      </c>
      <c r="G6" s="199">
        <v>471699684.80000001</v>
      </c>
      <c r="H6" s="190" t="s">
        <v>224</v>
      </c>
      <c r="I6" s="190" t="s">
        <v>225</v>
      </c>
      <c r="J6" s="208" t="s">
        <v>226</v>
      </c>
      <c r="K6" s="208"/>
      <c r="L6" s="190" t="s">
        <v>16</v>
      </c>
      <c r="M6" s="190" t="s">
        <v>227</v>
      </c>
      <c r="N6" s="205" t="s">
        <v>17</v>
      </c>
      <c r="O6" s="190"/>
      <c r="P6" s="190"/>
      <c r="Q6" s="197" t="s">
        <v>228</v>
      </c>
      <c r="R6" s="197" t="s">
        <v>229</v>
      </c>
      <c r="S6" s="190" t="s">
        <v>184</v>
      </c>
      <c r="T6" s="190" t="s">
        <v>203</v>
      </c>
      <c r="U6" s="190" t="s">
        <v>230</v>
      </c>
      <c r="V6" s="190"/>
      <c r="W6" s="190"/>
      <c r="X6" s="200">
        <v>0</v>
      </c>
      <c r="Y6" s="15"/>
    </row>
    <row r="7" spans="1:30" ht="30.75">
      <c r="A7" s="15">
        <v>59</v>
      </c>
      <c r="C7" s="15" t="s">
        <v>67</v>
      </c>
      <c r="D7" s="184">
        <v>46095.864340277774</v>
      </c>
      <c r="F7" s="202">
        <v>471699685.52999997</v>
      </c>
      <c r="G7" s="209">
        <v>471699684.80000001</v>
      </c>
      <c r="I7" s="203" t="s">
        <v>91</v>
      </c>
      <c r="J7" s="189" t="str">
        <f>HYPERLINK("https://tenderplus.kz/zakupki/44583675","Услуги по аренде виртуального выделенного сервера (VPS)")</f>
        <v>Услуги по аренде виртуального выделенного сервера (VPS)</v>
      </c>
      <c r="K7" s="189"/>
      <c r="L7" s="204" t="s">
        <v>16</v>
      </c>
      <c r="N7" s="205" t="s">
        <v>17</v>
      </c>
      <c r="X7" s="200">
        <f>(G7-F7)/F7</f>
        <v>-1.5475947554398227E-9</v>
      </c>
      <c r="Y7" s="15"/>
    </row>
    <row r="8" spans="1:30" ht="29.25">
      <c r="A8" s="15">
        <v>141</v>
      </c>
      <c r="D8" s="201">
        <v>46172.375</v>
      </c>
      <c r="F8" s="202">
        <v>371885844.33999997</v>
      </c>
      <c r="G8" s="57"/>
      <c r="I8" s="203" t="s">
        <v>212</v>
      </c>
      <c r="J8" s="188" t="str">
        <f>HYPERLINK("https://tenderplus.kz/zakupki/45845642","Услуги облачного сервиса")</f>
        <v>Услуги облачного сервиса</v>
      </c>
      <c r="K8" s="188"/>
      <c r="L8" s="204" t="s">
        <v>16</v>
      </c>
      <c r="N8" s="205" t="s">
        <v>213</v>
      </c>
      <c r="X8" s="200"/>
      <c r="Y8" s="15"/>
      <c r="Z8" s="210">
        <f>AVERAGE(X8,X96)</f>
        <v>-0.25839981403998141</v>
      </c>
    </row>
    <row r="9" spans="1:30" ht="29.25">
      <c r="A9" s="197">
        <v>30</v>
      </c>
      <c r="B9" s="197"/>
      <c r="C9" s="190" t="s">
        <v>67</v>
      </c>
      <c r="D9" s="184">
        <v>46021</v>
      </c>
      <c r="E9" s="211" t="s">
        <v>216</v>
      </c>
      <c r="F9" s="207">
        <v>371885844</v>
      </c>
      <c r="G9" s="199"/>
      <c r="H9" s="197"/>
      <c r="I9" s="204" t="s">
        <v>212</v>
      </c>
      <c r="J9" s="208" t="s">
        <v>231</v>
      </c>
      <c r="K9" s="208"/>
      <c r="L9" s="190" t="s">
        <v>16</v>
      </c>
      <c r="M9" s="190" t="s">
        <v>227</v>
      </c>
      <c r="N9" s="190" t="s">
        <v>232</v>
      </c>
      <c r="O9" s="204"/>
      <c r="P9" s="208"/>
      <c r="Q9" s="197" t="s">
        <v>233</v>
      </c>
      <c r="R9" s="197" t="s">
        <v>234</v>
      </c>
      <c r="S9" s="190" t="s">
        <v>203</v>
      </c>
      <c r="T9" s="190" t="s">
        <v>203</v>
      </c>
      <c r="U9" s="190" t="s">
        <v>235</v>
      </c>
      <c r="V9" s="190"/>
      <c r="W9" s="190"/>
      <c r="X9" s="200">
        <v>0</v>
      </c>
      <c r="Y9" s="15"/>
    </row>
    <row r="10" spans="1:30" ht="57.75">
      <c r="A10" s="197">
        <v>12</v>
      </c>
      <c r="B10" s="197"/>
      <c r="C10" s="190" t="s">
        <v>18</v>
      </c>
      <c r="D10" s="184">
        <v>46023</v>
      </c>
      <c r="E10" s="206" t="s">
        <v>216</v>
      </c>
      <c r="F10" s="207">
        <v>349766929</v>
      </c>
      <c r="G10" s="199">
        <v>349766928.56999999</v>
      </c>
      <c r="H10" s="190"/>
      <c r="I10" s="190" t="s">
        <v>236</v>
      </c>
      <c r="J10" s="208" t="s">
        <v>231</v>
      </c>
      <c r="K10" s="208"/>
      <c r="L10" s="190" t="s">
        <v>16</v>
      </c>
      <c r="M10" s="190" t="s">
        <v>237</v>
      </c>
      <c r="N10" s="190" t="s">
        <v>238</v>
      </c>
      <c r="O10" s="190"/>
      <c r="P10" s="208"/>
      <c r="Q10" s="197" t="s">
        <v>239</v>
      </c>
      <c r="R10" s="197" t="s">
        <v>240</v>
      </c>
      <c r="S10" s="190" t="s">
        <v>203</v>
      </c>
      <c r="T10" s="190" t="s">
        <v>203</v>
      </c>
      <c r="U10" s="190" t="s">
        <v>241</v>
      </c>
      <c r="V10" s="190"/>
      <c r="W10" s="190"/>
      <c r="X10" s="200">
        <f>(G10-F10)/F10</f>
        <v>-1.229390120964116E-9</v>
      </c>
      <c r="Y10" s="15"/>
    </row>
    <row r="11" spans="1:30" ht="43.5">
      <c r="A11" s="15">
        <v>142</v>
      </c>
      <c r="D11" s="201">
        <v>46095.375</v>
      </c>
      <c r="F11" s="202">
        <v>349766928.56999999</v>
      </c>
      <c r="G11" s="57"/>
      <c r="I11" s="203" t="s">
        <v>236</v>
      </c>
      <c r="J11" s="188" t="str">
        <f>HYPERLINK("https://tenderplus.kz/zakupki/44473038","Услуги облачного сервиса Услуги облачного сервиса")</f>
        <v>Услуги облачного сервиса Услуги облачного сервиса</v>
      </c>
      <c r="K11" s="188"/>
      <c r="L11" s="204" t="s">
        <v>16</v>
      </c>
      <c r="N11" s="205" t="s">
        <v>213</v>
      </c>
      <c r="X11" s="200"/>
      <c r="Y11" s="15"/>
    </row>
    <row r="12" spans="1:30" ht="29.25">
      <c r="A12" s="197">
        <v>5</v>
      </c>
      <c r="B12" s="197"/>
      <c r="C12" s="190" t="s">
        <v>39</v>
      </c>
      <c r="D12" s="184">
        <v>45976</v>
      </c>
      <c r="E12" s="197"/>
      <c r="F12" s="198">
        <v>275000000</v>
      </c>
      <c r="G12" s="199"/>
      <c r="H12" s="197"/>
      <c r="I12" s="190" t="s">
        <v>242</v>
      </c>
      <c r="J12" s="190" t="s">
        <v>205</v>
      </c>
      <c r="K12" s="190"/>
      <c r="L12" s="190" t="s">
        <v>116</v>
      </c>
      <c r="M12" s="190" t="s">
        <v>218</v>
      </c>
      <c r="N12" s="190"/>
      <c r="O12" s="190"/>
      <c r="P12" s="190"/>
      <c r="Q12" s="197">
        <v>2700000</v>
      </c>
      <c r="R12" s="197" t="s">
        <v>229</v>
      </c>
      <c r="S12" s="190" t="s">
        <v>184</v>
      </c>
      <c r="T12" s="190" t="s">
        <v>203</v>
      </c>
      <c r="U12" s="190" t="s">
        <v>243</v>
      </c>
      <c r="V12" s="190"/>
      <c r="W12" s="190"/>
      <c r="X12" s="200">
        <v>0</v>
      </c>
      <c r="Y12" s="15"/>
    </row>
    <row r="13" spans="1:30" ht="29.25">
      <c r="A13" s="197">
        <v>6</v>
      </c>
      <c r="B13" s="197"/>
      <c r="C13" s="190" t="s">
        <v>39</v>
      </c>
      <c r="D13" s="184">
        <v>46023</v>
      </c>
      <c r="E13" s="206" t="s">
        <v>216</v>
      </c>
      <c r="F13" s="198">
        <v>183650000</v>
      </c>
      <c r="G13" s="199"/>
      <c r="H13" s="190"/>
      <c r="I13" s="190" t="s">
        <v>244</v>
      </c>
      <c r="J13" s="190" t="s">
        <v>245</v>
      </c>
      <c r="K13" s="190"/>
      <c r="L13" s="190" t="s">
        <v>246</v>
      </c>
      <c r="M13" s="190" t="s">
        <v>218</v>
      </c>
      <c r="N13" s="190"/>
      <c r="O13" s="190"/>
      <c r="P13" s="190"/>
      <c r="Q13" s="197">
        <v>1836500</v>
      </c>
      <c r="R13" s="197">
        <v>5509500</v>
      </c>
      <c r="S13" s="190" t="s">
        <v>203</v>
      </c>
      <c r="T13" s="190" t="s">
        <v>203</v>
      </c>
      <c r="U13" s="190" t="s">
        <v>247</v>
      </c>
      <c r="V13" s="190"/>
      <c r="W13" s="190"/>
      <c r="X13" s="200">
        <v>0</v>
      </c>
      <c r="Y13" s="15"/>
    </row>
    <row r="14" spans="1:30" ht="57.75">
      <c r="A14" s="15">
        <v>143</v>
      </c>
      <c r="C14" s="15" t="s">
        <v>18</v>
      </c>
      <c r="D14" s="201">
        <v>46035.208333333336</v>
      </c>
      <c r="F14" s="202">
        <v>181379676</v>
      </c>
      <c r="G14" s="57">
        <v>181379676</v>
      </c>
      <c r="I14" s="203" t="s">
        <v>248</v>
      </c>
      <c r="J14" s="188" t="str">
        <f>HYPERLINK("https://tenderplus.kz/zakupki/43255232","Услуги по аренде виртуального выделенного сервера (VPS)")</f>
        <v>Услуги по аренде виртуального выделенного сервера (VPS)</v>
      </c>
      <c r="K14" s="188"/>
      <c r="L14" s="204" t="s">
        <v>16</v>
      </c>
      <c r="N14" s="205" t="s">
        <v>249</v>
      </c>
      <c r="X14" s="200">
        <f>(G14-F14)/F14</f>
        <v>0</v>
      </c>
      <c r="Y14" s="15"/>
    </row>
    <row r="15" spans="1:30" ht="30.75">
      <c r="A15" s="15">
        <v>65</v>
      </c>
      <c r="D15" s="184">
        <v>46248.037870370368</v>
      </c>
      <c r="F15" s="202">
        <v>2289600</v>
      </c>
      <c r="G15" s="57">
        <v>2289600</v>
      </c>
      <c r="I15" s="203" t="s">
        <v>250</v>
      </c>
      <c r="J15" s="189" t="str">
        <f>HYPERLINK("https://tenderplus.kz/zakupki/46708051","Услуги по аренде виртуального выделенного сервера (VPS)")</f>
        <v>Услуги по аренде виртуального выделенного сервера (VPS)</v>
      </c>
      <c r="K15" s="189"/>
      <c r="L15" s="204" t="s">
        <v>16</v>
      </c>
      <c r="N15" s="205" t="s">
        <v>251</v>
      </c>
      <c r="X15" s="200">
        <f>(G15-F15)/F15</f>
        <v>0</v>
      </c>
      <c r="Y15" s="15"/>
    </row>
    <row r="16" spans="1:30" ht="29.25">
      <c r="A16" s="197">
        <v>40</v>
      </c>
      <c r="B16" s="197"/>
      <c r="C16" s="190" t="s">
        <v>18</v>
      </c>
      <c r="D16" s="184">
        <v>46023</v>
      </c>
      <c r="E16" s="206" t="s">
        <v>216</v>
      </c>
      <c r="F16" s="207">
        <v>143729000</v>
      </c>
      <c r="G16" s="199">
        <v>139800000</v>
      </c>
      <c r="H16" s="190"/>
      <c r="I16" s="190" t="s">
        <v>252</v>
      </c>
      <c r="J16" s="208" t="s">
        <v>231</v>
      </c>
      <c r="K16" s="208"/>
      <c r="L16" s="190" t="s">
        <v>80</v>
      </c>
      <c r="M16" s="190" t="s">
        <v>218</v>
      </c>
      <c r="N16" s="190" t="s">
        <v>253</v>
      </c>
      <c r="O16" s="190"/>
      <c r="P16" s="208"/>
      <c r="Q16" s="197" t="s">
        <v>254</v>
      </c>
      <c r="R16" s="197" t="s">
        <v>255</v>
      </c>
      <c r="S16" s="190" t="s">
        <v>203</v>
      </c>
      <c r="T16" s="190" t="s">
        <v>203</v>
      </c>
      <c r="U16" s="190" t="s">
        <v>256</v>
      </c>
      <c r="V16" s="190"/>
      <c r="W16" s="190"/>
      <c r="X16" s="200">
        <f>(G16-F16)/F16</f>
        <v>-2.7336167370537609E-2</v>
      </c>
      <c r="Y16" s="15"/>
    </row>
    <row r="17" spans="1:25" ht="43.5">
      <c r="A17" s="197">
        <v>45</v>
      </c>
      <c r="B17" s="197"/>
      <c r="C17" s="190" t="s">
        <v>39</v>
      </c>
      <c r="D17" s="201">
        <v>46055</v>
      </c>
      <c r="E17" s="197"/>
      <c r="F17" s="207">
        <v>140357143</v>
      </c>
      <c r="G17" s="199">
        <v>135952290</v>
      </c>
      <c r="H17" s="197"/>
      <c r="I17" s="190" t="s">
        <v>236</v>
      </c>
      <c r="J17" s="208" t="s">
        <v>257</v>
      </c>
      <c r="K17" s="208"/>
      <c r="L17" s="190" t="s">
        <v>16</v>
      </c>
      <c r="M17" s="190" t="s">
        <v>258</v>
      </c>
      <c r="N17" s="190" t="s">
        <v>259</v>
      </c>
      <c r="O17" s="190"/>
      <c r="P17" s="208"/>
      <c r="Q17" s="197" t="s">
        <v>260</v>
      </c>
      <c r="R17" s="197" t="s">
        <v>261</v>
      </c>
      <c r="S17" s="190" t="s">
        <v>203</v>
      </c>
      <c r="T17" s="190" t="s">
        <v>203</v>
      </c>
      <c r="U17" s="190" t="s">
        <v>262</v>
      </c>
      <c r="V17" s="190"/>
      <c r="W17" s="190"/>
      <c r="X17" s="200">
        <f>(G17-F17)/F17</f>
        <v>-3.1383176558388626E-2</v>
      </c>
      <c r="Y17" s="15"/>
    </row>
    <row r="18" spans="1:25" ht="57.75">
      <c r="A18" s="15">
        <v>67</v>
      </c>
      <c r="D18" s="184">
        <v>46255.375</v>
      </c>
      <c r="F18" s="202">
        <v>2019328</v>
      </c>
      <c r="G18" s="57">
        <v>2019300</v>
      </c>
      <c r="I18" s="203" t="s">
        <v>105</v>
      </c>
      <c r="J18" s="189" t="str">
        <f>HYPERLINK("https://tenderplus.kz/zakupki/46736945","Услуги по аренде виртуального выделенного сервера (VPS)")</f>
        <v>Услуги по аренде виртуального выделенного сервера (VPS)</v>
      </c>
      <c r="K18" s="189"/>
      <c r="L18" s="204" t="s">
        <v>16</v>
      </c>
      <c r="N18" s="205" t="s">
        <v>263</v>
      </c>
      <c r="X18" s="200">
        <f>(G18-F18)/F18</f>
        <v>-1.3865998985801217E-5</v>
      </c>
      <c r="Y18" s="15"/>
    </row>
    <row r="19" spans="1:25" ht="87">
      <c r="A19" s="197">
        <v>10</v>
      </c>
      <c r="B19" s="197"/>
      <c r="C19" s="190" t="s">
        <v>18</v>
      </c>
      <c r="D19" s="184">
        <v>46023</v>
      </c>
      <c r="E19" s="206" t="s">
        <v>216</v>
      </c>
      <c r="F19" s="198">
        <v>134330838</v>
      </c>
      <c r="G19" s="199">
        <v>133000000</v>
      </c>
      <c r="H19" s="190"/>
      <c r="I19" s="190" t="s">
        <v>236</v>
      </c>
      <c r="J19" s="208" t="s">
        <v>264</v>
      </c>
      <c r="K19" s="208"/>
      <c r="L19" s="190" t="s">
        <v>16</v>
      </c>
      <c r="M19" s="190" t="s">
        <v>218</v>
      </c>
      <c r="N19" s="190" t="s">
        <v>17</v>
      </c>
      <c r="O19" s="190"/>
      <c r="P19" s="208"/>
      <c r="Q19" s="197" t="s">
        <v>265</v>
      </c>
      <c r="R19" s="197" t="s">
        <v>266</v>
      </c>
      <c r="S19" s="190" t="s">
        <v>203</v>
      </c>
      <c r="T19" s="190" t="s">
        <v>203</v>
      </c>
      <c r="U19" s="190" t="s">
        <v>241</v>
      </c>
      <c r="V19" s="190"/>
      <c r="W19" s="190"/>
      <c r="X19" s="200">
        <f>(G19-F19)/F19</f>
        <v>-9.9071666626541852E-3</v>
      </c>
      <c r="Y19" s="15"/>
    </row>
    <row r="20" spans="1:25" ht="99">
      <c r="A20" s="15">
        <v>147</v>
      </c>
      <c r="D20" s="201">
        <v>46057.375</v>
      </c>
      <c r="F20" s="202">
        <v>134330838</v>
      </c>
      <c r="G20" s="57"/>
      <c r="I20" s="203" t="s">
        <v>236</v>
      </c>
      <c r="J20" s="188" t="str">
        <f>HYPERLINK("https://tenderplus.kz/zakupki/43464635","Услуги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20" s="188"/>
      <c r="L20" s="191" t="s">
        <v>16</v>
      </c>
      <c r="N20" s="205" t="s">
        <v>213</v>
      </c>
      <c r="X20" s="200"/>
      <c r="Y20" s="15"/>
    </row>
    <row r="21" spans="1:25" ht="30.75">
      <c r="A21" s="15">
        <v>60</v>
      </c>
      <c r="C21" s="15" t="s">
        <v>18</v>
      </c>
      <c r="D21" s="184">
        <v>46052.375</v>
      </c>
      <c r="F21" s="202">
        <v>133064294.40000001</v>
      </c>
      <c r="G21" s="57">
        <v>133064294.40000001</v>
      </c>
      <c r="I21" s="203" t="s">
        <v>267</v>
      </c>
      <c r="J21" s="189" t="str">
        <f>HYPERLINK("https://tenderplus.kz/zakupki/43322660","Услуги по аренде виртуального выделенного сервера (VPS)")</f>
        <v>Услуги по аренде виртуального выделенного сервера (VPS)</v>
      </c>
      <c r="K21" s="189"/>
      <c r="L21" s="204" t="s">
        <v>16</v>
      </c>
      <c r="N21" s="205" t="s">
        <v>268</v>
      </c>
      <c r="X21" s="200">
        <f>(G21-F21)/F21</f>
        <v>0</v>
      </c>
      <c r="Y21" s="15"/>
    </row>
    <row r="22" spans="1:25" ht="29.25">
      <c r="A22" s="15">
        <v>95</v>
      </c>
      <c r="D22" s="217">
        <v>46255.520833333336</v>
      </c>
      <c r="F22" s="202">
        <v>1274526.96</v>
      </c>
      <c r="G22" s="57">
        <v>1274526.96</v>
      </c>
      <c r="I22" s="203" t="s">
        <v>269</v>
      </c>
      <c r="J22" s="189" t="str">
        <f>HYPERLINK("https://tenderplus.kz/zakupki/46782892","Услуги облачного сервиса")</f>
        <v>Услуги облачного сервиса</v>
      </c>
      <c r="K22" s="189"/>
      <c r="L22" s="192" t="str">
        <f>HYPERLINK("https://zakup.sk.kz/#/ext(popup:item/4161144/lot)","Самрук-Казына")</f>
        <v>Самрук-Казына</v>
      </c>
      <c r="N22" s="205" t="s">
        <v>270</v>
      </c>
      <c r="X22" s="200">
        <f>(G22-F22)/F22</f>
        <v>0</v>
      </c>
      <c r="Y22" s="15"/>
    </row>
    <row r="23" spans="1:25" ht="29.25">
      <c r="A23" s="197">
        <v>42</v>
      </c>
      <c r="B23" s="197"/>
      <c r="C23" s="190" t="s">
        <v>214</v>
      </c>
      <c r="D23" s="201">
        <v>46054.375</v>
      </c>
      <c r="E23" s="197"/>
      <c r="F23" s="207">
        <v>127000000</v>
      </c>
      <c r="G23" s="199"/>
      <c r="H23" s="197"/>
      <c r="I23" s="190" t="s">
        <v>271</v>
      </c>
      <c r="J23" s="190" t="s">
        <v>272</v>
      </c>
      <c r="K23" s="190"/>
      <c r="L23" s="190" t="s">
        <v>116</v>
      </c>
      <c r="M23" s="190" t="s">
        <v>218</v>
      </c>
      <c r="N23" s="190"/>
      <c r="O23" s="190"/>
      <c r="P23" s="190"/>
      <c r="Q23" s="197" t="s">
        <v>273</v>
      </c>
      <c r="R23" s="197" t="s">
        <v>274</v>
      </c>
      <c r="S23" s="190" t="s">
        <v>203</v>
      </c>
      <c r="T23" s="190" t="s">
        <v>203</v>
      </c>
      <c r="U23" s="190" t="s">
        <v>275</v>
      </c>
      <c r="V23" s="190"/>
      <c r="W23" s="190"/>
      <c r="X23" s="200">
        <v>0</v>
      </c>
      <c r="Y23" s="15"/>
    </row>
    <row r="24" spans="1:25" ht="57.75">
      <c r="A24" s="197">
        <v>9</v>
      </c>
      <c r="B24" s="197"/>
      <c r="C24" s="190" t="s">
        <v>18</v>
      </c>
      <c r="D24" s="184">
        <v>46023</v>
      </c>
      <c r="E24" s="208" t="s">
        <v>276</v>
      </c>
      <c r="F24" s="198">
        <v>126027664</v>
      </c>
      <c r="G24" s="199">
        <v>126027664.29000001</v>
      </c>
      <c r="H24" s="190" t="s">
        <v>277</v>
      </c>
      <c r="I24" s="190" t="s">
        <v>236</v>
      </c>
      <c r="J24" s="208" t="s">
        <v>231</v>
      </c>
      <c r="K24" s="208"/>
      <c r="L24" s="190" t="s">
        <v>16</v>
      </c>
      <c r="M24" s="190" t="s">
        <v>237</v>
      </c>
      <c r="N24" s="190" t="s">
        <v>278</v>
      </c>
      <c r="O24" s="190"/>
      <c r="P24" s="208"/>
      <c r="Q24" s="197" t="s">
        <v>279</v>
      </c>
      <c r="R24" s="197" t="s">
        <v>229</v>
      </c>
      <c r="S24" s="190" t="s">
        <v>184</v>
      </c>
      <c r="T24" s="190" t="s">
        <v>203</v>
      </c>
      <c r="U24" s="190" t="s">
        <v>241</v>
      </c>
      <c r="V24" s="190"/>
      <c r="W24" s="190"/>
      <c r="X24" s="200">
        <f>(G24-F24)/F24</f>
        <v>2.3010821382558588E-9</v>
      </c>
      <c r="Y24" s="15"/>
    </row>
    <row r="25" spans="1:25" ht="43.5">
      <c r="A25" s="197">
        <v>29</v>
      </c>
      <c r="B25" s="197"/>
      <c r="C25" s="190" t="s">
        <v>18</v>
      </c>
      <c r="D25" s="184">
        <v>46021</v>
      </c>
      <c r="E25" s="211" t="s">
        <v>216</v>
      </c>
      <c r="F25" s="198">
        <v>93749648</v>
      </c>
      <c r="G25" s="199">
        <v>93749648</v>
      </c>
      <c r="H25" s="197"/>
      <c r="I25" s="190" t="s">
        <v>114</v>
      </c>
      <c r="J25" s="208" t="s">
        <v>115</v>
      </c>
      <c r="K25" s="208"/>
      <c r="L25" s="190" t="s">
        <v>280</v>
      </c>
      <c r="M25" s="190" t="s">
        <v>237</v>
      </c>
      <c r="N25" s="190" t="s">
        <v>17</v>
      </c>
      <c r="O25" s="190"/>
      <c r="P25" s="208"/>
      <c r="Q25" s="197" t="s">
        <v>281</v>
      </c>
      <c r="R25" s="197" t="s">
        <v>282</v>
      </c>
      <c r="S25" s="190" t="s">
        <v>184</v>
      </c>
      <c r="T25" s="190" t="s">
        <v>203</v>
      </c>
      <c r="U25" s="190" t="s">
        <v>283</v>
      </c>
      <c r="V25" s="190"/>
      <c r="W25" s="190"/>
      <c r="X25" s="200">
        <f>(G25-F25)/F25</f>
        <v>0</v>
      </c>
      <c r="Y25" s="15"/>
    </row>
    <row r="26" spans="1:25" ht="91.5">
      <c r="A26" s="15">
        <v>66</v>
      </c>
      <c r="D26" s="184">
        <v>46273.45684027778</v>
      </c>
      <c r="F26" s="202">
        <v>2264196.4300000002</v>
      </c>
      <c r="G26" s="57">
        <v>2200000</v>
      </c>
      <c r="I26" s="203" t="s">
        <v>284</v>
      </c>
      <c r="J26" s="189" t="str">
        <f>HYPERLINK("https://tenderplus.kz/zakupki/47027266","Услуги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26" s="189"/>
      <c r="L26" s="204" t="s">
        <v>16</v>
      </c>
      <c r="N26" s="205" t="s">
        <v>285</v>
      </c>
      <c r="X26" s="200">
        <f>(G26-F26)/F26</f>
        <v>-2.835285364353311E-2</v>
      </c>
      <c r="Y26" s="15"/>
    </row>
    <row r="27" spans="1:25" ht="43.5">
      <c r="A27" s="197">
        <v>24</v>
      </c>
      <c r="B27" s="197"/>
      <c r="C27" s="190" t="s">
        <v>39</v>
      </c>
      <c r="D27" s="184">
        <v>46068</v>
      </c>
      <c r="E27" s="208" t="s">
        <v>286</v>
      </c>
      <c r="F27" s="207">
        <v>81400000</v>
      </c>
      <c r="G27" s="199"/>
      <c r="H27" s="190" t="s">
        <v>287</v>
      </c>
      <c r="I27" s="190" t="s">
        <v>236</v>
      </c>
      <c r="J27" s="208" t="s">
        <v>257</v>
      </c>
      <c r="K27" s="208"/>
      <c r="L27" s="190" t="s">
        <v>16</v>
      </c>
      <c r="M27" s="190" t="s">
        <v>258</v>
      </c>
      <c r="N27" s="190" t="s">
        <v>232</v>
      </c>
      <c r="O27" s="208"/>
      <c r="P27" s="208"/>
      <c r="Q27" s="197" t="s">
        <v>288</v>
      </c>
      <c r="R27" s="197" t="s">
        <v>289</v>
      </c>
      <c r="S27" s="190" t="s">
        <v>203</v>
      </c>
      <c r="T27" s="190" t="s">
        <v>203</v>
      </c>
      <c r="U27" s="190" t="s">
        <v>290</v>
      </c>
      <c r="V27" s="190"/>
      <c r="W27" s="190"/>
      <c r="X27" s="200">
        <v>0</v>
      </c>
      <c r="Y27" s="15"/>
    </row>
    <row r="28" spans="1:25" ht="72.75">
      <c r="A28" s="236">
        <v>57</v>
      </c>
      <c r="B28" s="236"/>
      <c r="C28" s="236"/>
      <c r="D28" s="237">
        <v>46315.493055555555</v>
      </c>
      <c r="E28" s="236"/>
      <c r="F28" s="238">
        <v>15760934.74</v>
      </c>
      <c r="G28" s="239">
        <v>12608747.800000001</v>
      </c>
      <c r="I28" s="240" t="s">
        <v>98</v>
      </c>
      <c r="J28" s="189" t="str">
        <f>HYPERLINK("https://tenderplus.kz/zakupki/47819091","Услуги по аренде виртуального выделенного сервера (VPS) Услуги по аренде виртуального выделенного сервера (VPS)")</f>
        <v>Услуги по аренде виртуального выделенного сервера (VPS) Услуги по аренде виртуального выделенного сервера (VPS)</v>
      </c>
      <c r="K28" s="189"/>
      <c r="L28" s="204" t="s">
        <v>16</v>
      </c>
      <c r="N28" s="205" t="s">
        <v>17</v>
      </c>
      <c r="X28" s="200">
        <f>(G28-F28)/F28</f>
        <v>-0.19999999949241587</v>
      </c>
      <c r="Y28" s="15"/>
    </row>
    <row r="29" spans="1:25" ht="29.25">
      <c r="A29" s="197">
        <v>28</v>
      </c>
      <c r="B29" s="197"/>
      <c r="C29" s="190" t="s">
        <v>214</v>
      </c>
      <c r="D29" s="184">
        <v>46016</v>
      </c>
      <c r="E29" s="211" t="s">
        <v>216</v>
      </c>
      <c r="F29" s="198">
        <v>70609013</v>
      </c>
      <c r="G29" s="199"/>
      <c r="H29" s="197"/>
      <c r="I29" s="190" t="s">
        <v>291</v>
      </c>
      <c r="J29" s="190" t="s">
        <v>292</v>
      </c>
      <c r="K29" s="190"/>
      <c r="L29" s="190" t="s">
        <v>280</v>
      </c>
      <c r="M29" s="190" t="s">
        <v>293</v>
      </c>
      <c r="N29" s="190"/>
      <c r="O29" s="190"/>
      <c r="P29" s="190"/>
      <c r="Q29" s="197" t="s">
        <v>294</v>
      </c>
      <c r="R29" s="197" t="s">
        <v>295</v>
      </c>
      <c r="S29" s="190" t="s">
        <v>184</v>
      </c>
      <c r="T29" s="190" t="s">
        <v>203</v>
      </c>
      <c r="U29" s="190" t="s">
        <v>296</v>
      </c>
      <c r="V29" s="190"/>
      <c r="W29" s="190"/>
      <c r="X29" s="200">
        <v>0</v>
      </c>
      <c r="Y29" s="15"/>
    </row>
    <row r="30" spans="1:25" ht="29.25">
      <c r="A30" s="197">
        <v>16</v>
      </c>
      <c r="B30" s="197"/>
      <c r="C30" s="190" t="s">
        <v>39</v>
      </c>
      <c r="D30" s="201">
        <v>46082</v>
      </c>
      <c r="E30" s="206" t="s">
        <v>216</v>
      </c>
      <c r="F30" s="207">
        <v>69053000</v>
      </c>
      <c r="G30" s="199"/>
      <c r="H30" s="197"/>
      <c r="I30" s="190" t="s">
        <v>297</v>
      </c>
      <c r="J30" s="190" t="s">
        <v>298</v>
      </c>
      <c r="K30" s="190"/>
      <c r="L30" s="190" t="s">
        <v>16</v>
      </c>
      <c r="M30" s="190" t="s">
        <v>206</v>
      </c>
      <c r="N30" s="190"/>
      <c r="O30" s="190"/>
      <c r="P30" s="190"/>
      <c r="Q30" s="197" t="s">
        <v>299</v>
      </c>
      <c r="R30" s="197" t="s">
        <v>300</v>
      </c>
      <c r="S30" s="190" t="s">
        <v>203</v>
      </c>
      <c r="T30" s="190" t="s">
        <v>203</v>
      </c>
      <c r="U30" s="190" t="s">
        <v>301</v>
      </c>
      <c r="V30" s="190"/>
      <c r="W30" s="190"/>
      <c r="X30" s="200"/>
      <c r="Y30" s="15"/>
    </row>
    <row r="31" spans="1:25" ht="57.75">
      <c r="A31" s="15">
        <v>152</v>
      </c>
      <c r="C31" s="15" t="s">
        <v>39</v>
      </c>
      <c r="D31" s="201">
        <v>46031.620243055557</v>
      </c>
      <c r="F31" s="202">
        <v>68883260</v>
      </c>
      <c r="G31" s="57">
        <v>68883255.700000003</v>
      </c>
      <c r="I31" s="203" t="s">
        <v>69</v>
      </c>
      <c r="J31" s="188" t="str">
        <f>HYPERLINK("https://tenderplus.kz/zakupki/43029640","Услуги по аренде виртуального выделенного сервера (VPS)")</f>
        <v>Услуги по аренде виртуального выделенного сервера (VPS)</v>
      </c>
      <c r="K31" s="188"/>
      <c r="L31" s="204" t="s">
        <v>16</v>
      </c>
      <c r="N31" s="205" t="s">
        <v>70</v>
      </c>
      <c r="X31" s="200">
        <f>(G31-F31)/F31</f>
        <v>-6.2424455477568399E-8</v>
      </c>
      <c r="Y31" s="15"/>
    </row>
    <row r="32" spans="1:25" ht="29.25">
      <c r="A32" s="197">
        <v>8</v>
      </c>
      <c r="B32" s="197"/>
      <c r="C32" s="190" t="s">
        <v>39</v>
      </c>
      <c r="D32" s="184">
        <v>46023</v>
      </c>
      <c r="E32" s="206" t="s">
        <v>216</v>
      </c>
      <c r="F32" s="198">
        <v>67896030</v>
      </c>
      <c r="G32" s="199">
        <v>67896030.219999999</v>
      </c>
      <c r="H32" s="190"/>
      <c r="I32" s="190" t="s">
        <v>302</v>
      </c>
      <c r="J32" s="208" t="s">
        <v>58</v>
      </c>
      <c r="K32" s="208"/>
      <c r="L32" s="190" t="s">
        <v>116</v>
      </c>
      <c r="M32" s="190" t="s">
        <v>218</v>
      </c>
      <c r="N32" s="190" t="s">
        <v>303</v>
      </c>
      <c r="O32" s="190"/>
      <c r="P32" s="208"/>
      <c r="Q32" s="197" t="s">
        <v>304</v>
      </c>
      <c r="R32" s="197" t="s">
        <v>305</v>
      </c>
      <c r="S32" s="190" t="s">
        <v>184</v>
      </c>
      <c r="T32" s="190" t="s">
        <v>203</v>
      </c>
      <c r="U32" s="190" t="s">
        <v>306</v>
      </c>
      <c r="V32" s="190"/>
      <c r="W32" s="190"/>
      <c r="X32" s="200">
        <f>(G32-F32)/F32</f>
        <v>3.2402483445336511E-9</v>
      </c>
      <c r="Y32" s="15"/>
    </row>
    <row r="33" spans="1:26" ht="29.25">
      <c r="A33" s="197">
        <v>36</v>
      </c>
      <c r="B33" s="197"/>
      <c r="C33" s="190" t="s">
        <v>18</v>
      </c>
      <c r="D33" s="184">
        <v>46023</v>
      </c>
      <c r="E33" s="206" t="s">
        <v>216</v>
      </c>
      <c r="F33" s="198">
        <v>66875255</v>
      </c>
      <c r="G33" s="199">
        <v>66875255</v>
      </c>
      <c r="H33" s="190"/>
      <c r="I33" s="190" t="s">
        <v>307</v>
      </c>
      <c r="J33" s="208" t="s">
        <v>31</v>
      </c>
      <c r="K33" s="208"/>
      <c r="L33" s="191" t="str">
        <f>HYPERLINK("https://zakup.sk.kz/#/ext(popup:item/3810242/lot)","Самрук-Казына")</f>
        <v>Самрук-Казына</v>
      </c>
      <c r="M33" s="190" t="s">
        <v>237</v>
      </c>
      <c r="N33" s="190" t="s">
        <v>17</v>
      </c>
      <c r="O33" s="190"/>
      <c r="P33" s="208"/>
      <c r="Q33" s="197" t="s">
        <v>308</v>
      </c>
      <c r="R33" s="197" t="s">
        <v>309</v>
      </c>
      <c r="S33" s="190" t="s">
        <v>203</v>
      </c>
      <c r="T33" s="190" t="s">
        <v>203</v>
      </c>
      <c r="U33" s="190" t="s">
        <v>310</v>
      </c>
      <c r="V33" s="190"/>
      <c r="W33" s="190"/>
      <c r="X33" s="200">
        <f>(G33-F33)/F33</f>
        <v>0</v>
      </c>
      <c r="Y33" s="213">
        <f>AVERAGE(X28:X138)</f>
        <v>-7.8775279321601804E-2</v>
      </c>
    </row>
    <row r="34" spans="1:26" ht="29.25">
      <c r="A34" s="197">
        <v>21</v>
      </c>
      <c r="B34" s="197"/>
      <c r="C34" s="190" t="s">
        <v>214</v>
      </c>
      <c r="D34" s="184">
        <v>46037</v>
      </c>
      <c r="E34" s="206" t="s">
        <v>216</v>
      </c>
      <c r="F34" s="207">
        <v>66000000</v>
      </c>
      <c r="G34" s="199"/>
      <c r="H34" s="190"/>
      <c r="I34" s="190" t="s">
        <v>311</v>
      </c>
      <c r="J34" s="208" t="s">
        <v>312</v>
      </c>
      <c r="K34" s="208"/>
      <c r="L34" s="190" t="s">
        <v>16</v>
      </c>
      <c r="M34" s="190" t="s">
        <v>258</v>
      </c>
      <c r="N34" s="190" t="s">
        <v>213</v>
      </c>
      <c r="O34" s="190"/>
      <c r="P34" s="208"/>
      <c r="Q34" s="197" t="s">
        <v>313</v>
      </c>
      <c r="R34" s="197" t="s">
        <v>314</v>
      </c>
      <c r="S34" s="190" t="s">
        <v>203</v>
      </c>
      <c r="T34" s="190" t="s">
        <v>203</v>
      </c>
      <c r="U34" s="190" t="s">
        <v>315</v>
      </c>
      <c r="V34" s="190"/>
      <c r="W34" s="190"/>
      <c r="X34" s="200">
        <v>0</v>
      </c>
      <c r="Y34" s="15"/>
    </row>
    <row r="35" spans="1:26" ht="29.25">
      <c r="A35" s="197">
        <v>19</v>
      </c>
      <c r="B35" s="197"/>
      <c r="C35" s="190" t="s">
        <v>18</v>
      </c>
      <c r="D35" s="201">
        <v>46055</v>
      </c>
      <c r="E35" s="206" t="s">
        <v>216</v>
      </c>
      <c r="F35" s="198">
        <v>59013360</v>
      </c>
      <c r="G35" s="199">
        <v>59013360</v>
      </c>
      <c r="H35" s="197"/>
      <c r="I35" s="190" t="s">
        <v>316</v>
      </c>
      <c r="J35" s="208" t="s">
        <v>58</v>
      </c>
      <c r="K35" s="208"/>
      <c r="L35" s="190" t="s">
        <v>116</v>
      </c>
      <c r="M35" s="190" t="s">
        <v>237</v>
      </c>
      <c r="N35" s="190" t="s">
        <v>17</v>
      </c>
      <c r="O35" s="190"/>
      <c r="P35" s="208"/>
      <c r="Q35" s="197" t="s">
        <v>317</v>
      </c>
      <c r="R35" s="197" t="s">
        <v>318</v>
      </c>
      <c r="S35" s="190" t="s">
        <v>184</v>
      </c>
      <c r="T35" s="190" t="s">
        <v>203</v>
      </c>
      <c r="U35" s="190" t="s">
        <v>319</v>
      </c>
      <c r="V35" s="190"/>
      <c r="W35" s="190"/>
      <c r="X35" s="200">
        <f>(G35-F35)/F35</f>
        <v>0</v>
      </c>
      <c r="Y35" s="15" t="s">
        <v>320</v>
      </c>
    </row>
    <row r="36" spans="1:26" ht="57.75">
      <c r="A36" s="15">
        <v>86</v>
      </c>
      <c r="D36" s="184">
        <v>46325.375</v>
      </c>
      <c r="F36" s="202">
        <v>22043563</v>
      </c>
      <c r="G36" s="57">
        <v>21676303</v>
      </c>
      <c r="I36" s="203" t="s">
        <v>321</v>
      </c>
      <c r="J36" s="189" t="str">
        <f>HYPERLINK("https://tenderplus.kz/zakupki/47825476","Услуги облачного сервиса Услуги облачного сервиса")</f>
        <v>Услуги облачного сервиса Услуги облачного сервиса</v>
      </c>
      <c r="K36" s="189"/>
      <c r="L36" s="204" t="s">
        <v>16</v>
      </c>
      <c r="N36" s="205" t="s">
        <v>322</v>
      </c>
      <c r="X36" s="200">
        <f>(G36-F36)/F36</f>
        <v>-1.6660646012625093E-2</v>
      </c>
      <c r="Y36" s="15"/>
    </row>
    <row r="37" spans="1:26" ht="33">
      <c r="A37" s="15">
        <v>154</v>
      </c>
      <c r="C37" s="15" t="s">
        <v>67</v>
      </c>
      <c r="D37" s="201">
        <v>46058.617256944446</v>
      </c>
      <c r="F37" s="202">
        <v>51164086.640000001</v>
      </c>
      <c r="G37" s="57">
        <v>51164086.640000001</v>
      </c>
      <c r="I37" s="203" t="s">
        <v>323</v>
      </c>
      <c r="J37" s="188" t="str">
        <f>HYPERLINK("https://tenderplus.kz/zakupki/43594273","Услуги по аренде виртуального выделенного сервера (VPS)")</f>
        <v>Услуги по аренде виртуального выделенного сервера (VPS)</v>
      </c>
      <c r="K37" s="188"/>
      <c r="L37" s="204" t="s">
        <v>16</v>
      </c>
      <c r="N37" s="205" t="s">
        <v>17</v>
      </c>
      <c r="X37" s="200">
        <f>(G37-F37)/F37</f>
        <v>0</v>
      </c>
      <c r="Y37" s="15"/>
    </row>
    <row r="38" spans="1:26" ht="29.25">
      <c r="A38" s="197">
        <v>47</v>
      </c>
      <c r="B38" s="197"/>
      <c r="C38" s="190" t="s">
        <v>18</v>
      </c>
      <c r="D38" s="184">
        <v>46064</v>
      </c>
      <c r="E38" s="197" t="s">
        <v>324</v>
      </c>
      <c r="F38" s="198">
        <v>43817000</v>
      </c>
      <c r="G38" s="199"/>
      <c r="H38" s="197" t="s">
        <v>325</v>
      </c>
      <c r="I38" s="190" t="s">
        <v>326</v>
      </c>
      <c r="J38" s="190" t="s">
        <v>327</v>
      </c>
      <c r="K38" s="190"/>
      <c r="L38" s="190" t="s">
        <v>280</v>
      </c>
      <c r="M38" s="190" t="s">
        <v>237</v>
      </c>
      <c r="N38" s="190"/>
      <c r="O38" s="190"/>
      <c r="P38" s="190"/>
      <c r="Q38" s="197" t="s">
        <v>328</v>
      </c>
      <c r="R38" s="197" t="s">
        <v>229</v>
      </c>
      <c r="S38" s="190" t="s">
        <v>184</v>
      </c>
      <c r="T38" s="190" t="s">
        <v>203</v>
      </c>
      <c r="U38" s="190" t="s">
        <v>329</v>
      </c>
      <c r="V38" s="190"/>
      <c r="W38" s="190"/>
      <c r="X38" s="200">
        <v>0</v>
      </c>
      <c r="Y38" s="15"/>
    </row>
    <row r="39" spans="1:26" ht="30.75">
      <c r="A39" s="15">
        <v>61</v>
      </c>
      <c r="C39" s="15" t="s">
        <v>67</v>
      </c>
      <c r="D39" s="184">
        <v>46060.375</v>
      </c>
      <c r="F39" s="202">
        <v>37918188.880000003</v>
      </c>
      <c r="G39" s="57">
        <v>31573270</v>
      </c>
      <c r="I39" s="203" t="s">
        <v>63</v>
      </c>
      <c r="J39" s="189" t="str">
        <f>HYPERLINK("https://tenderplus.kz/zakupki/43527001","Услуги по аренде виртуального выделенного сервера (VPS)")</f>
        <v>Услуги по аренде виртуального выделенного сервера (VPS)</v>
      </c>
      <c r="K39" s="189"/>
      <c r="L39" s="204" t="s">
        <v>16</v>
      </c>
      <c r="N39" s="205" t="s">
        <v>65</v>
      </c>
      <c r="X39" s="200">
        <f>(G39-F39)/F39</f>
        <v>-0.16733180216174931</v>
      </c>
      <c r="Y39" s="15"/>
    </row>
    <row r="40" spans="1:26" ht="57.75">
      <c r="A40" s="15">
        <v>82</v>
      </c>
      <c r="C40" s="15" t="s">
        <v>67</v>
      </c>
      <c r="D40" s="184">
        <v>46063.701967592591</v>
      </c>
      <c r="F40" s="202">
        <v>37703571.43</v>
      </c>
      <c r="G40" s="57">
        <v>37541234.5</v>
      </c>
      <c r="I40" s="203" t="s">
        <v>330</v>
      </c>
      <c r="J40" s="189" t="str">
        <f>HYPERLINK("https://tenderplus.kz/zakupki/43715988","Услуги облачного сервиса")</f>
        <v>Услуги облачного сервиса</v>
      </c>
      <c r="K40" s="189"/>
      <c r="L40" s="204" t="s">
        <v>16</v>
      </c>
      <c r="N40" s="205" t="s">
        <v>331</v>
      </c>
      <c r="X40" s="200">
        <f>(G40-F40)/F40</f>
        <v>-4.3056114803710971E-3</v>
      </c>
      <c r="Y40" s="15"/>
    </row>
    <row r="41" spans="1:26" ht="29.25">
      <c r="A41" s="197">
        <v>41</v>
      </c>
      <c r="B41" s="197"/>
      <c r="C41" s="190" t="s">
        <v>18</v>
      </c>
      <c r="D41" s="201">
        <v>46054.375</v>
      </c>
      <c r="E41" s="197"/>
      <c r="F41" s="207">
        <v>37703571</v>
      </c>
      <c r="G41" s="199">
        <v>37541234.5</v>
      </c>
      <c r="H41" s="197"/>
      <c r="I41" s="190" t="s">
        <v>332</v>
      </c>
      <c r="J41" s="208" t="s">
        <v>231</v>
      </c>
      <c r="K41" s="208"/>
      <c r="L41" s="190" t="s">
        <v>16</v>
      </c>
      <c r="M41" s="190" t="s">
        <v>333</v>
      </c>
      <c r="N41" s="190" t="s">
        <v>334</v>
      </c>
      <c r="O41" s="190"/>
      <c r="P41" s="208"/>
      <c r="Q41" s="197" t="s">
        <v>335</v>
      </c>
      <c r="R41" s="197" t="s">
        <v>336</v>
      </c>
      <c r="S41" s="190" t="s">
        <v>203</v>
      </c>
      <c r="T41" s="190" t="s">
        <v>203</v>
      </c>
      <c r="U41" s="190" t="s">
        <v>337</v>
      </c>
      <c r="V41" s="190"/>
      <c r="W41" s="190"/>
      <c r="X41" s="200">
        <f>(G41-F41)/F41</f>
        <v>-4.3056001247202816E-3</v>
      </c>
      <c r="Y41" s="15"/>
    </row>
    <row r="42" spans="1:26" ht="43.5">
      <c r="A42" s="197">
        <v>4</v>
      </c>
      <c r="B42" s="197"/>
      <c r="C42" s="190" t="s">
        <v>101</v>
      </c>
      <c r="D42" s="184">
        <v>46030</v>
      </c>
      <c r="E42" s="197"/>
      <c r="F42" s="207">
        <v>36375362</v>
      </c>
      <c r="G42" s="199">
        <v>20581787.100000001</v>
      </c>
      <c r="H42" s="197"/>
      <c r="I42" s="190" t="s">
        <v>338</v>
      </c>
      <c r="J42" s="208" t="s">
        <v>339</v>
      </c>
      <c r="K42" s="208"/>
      <c r="L42" s="190" t="s">
        <v>16</v>
      </c>
      <c r="M42" s="190" t="s">
        <v>333</v>
      </c>
      <c r="N42" s="190" t="s">
        <v>340</v>
      </c>
      <c r="O42" s="190"/>
      <c r="P42" s="208"/>
      <c r="Q42" s="197" t="s">
        <v>341</v>
      </c>
      <c r="R42" s="197" t="s">
        <v>342</v>
      </c>
      <c r="S42" s="190" t="s">
        <v>203</v>
      </c>
      <c r="T42" s="190" t="s">
        <v>203</v>
      </c>
      <c r="U42" s="190" t="s">
        <v>343</v>
      </c>
      <c r="V42" s="190"/>
      <c r="W42" s="190"/>
      <c r="X42" s="200">
        <f>(G42-F42)/F42</f>
        <v>-0.43418330517233061</v>
      </c>
      <c r="Y42" s="15"/>
    </row>
    <row r="43" spans="1:26" ht="29.25">
      <c r="A43" s="197">
        <v>26</v>
      </c>
      <c r="B43" s="197"/>
      <c r="C43" s="190" t="s">
        <v>18</v>
      </c>
      <c r="D43" s="184">
        <v>46011</v>
      </c>
      <c r="E43" s="211" t="s">
        <v>216</v>
      </c>
      <c r="F43" s="198">
        <v>35000000</v>
      </c>
      <c r="G43" s="199">
        <v>38582000</v>
      </c>
      <c r="H43" s="197"/>
      <c r="I43" s="190" t="s">
        <v>344</v>
      </c>
      <c r="J43" s="208" t="s">
        <v>231</v>
      </c>
      <c r="K43" s="208"/>
      <c r="L43" s="190" t="s">
        <v>116</v>
      </c>
      <c r="M43" s="190" t="s">
        <v>237</v>
      </c>
      <c r="N43" s="190" t="s">
        <v>17</v>
      </c>
      <c r="O43" s="190"/>
      <c r="P43" s="208"/>
      <c r="Q43" s="197" t="s">
        <v>345</v>
      </c>
      <c r="R43" s="197" t="s">
        <v>229</v>
      </c>
      <c r="S43" s="190" t="s">
        <v>184</v>
      </c>
      <c r="T43" s="190" t="s">
        <v>203</v>
      </c>
      <c r="U43" s="190" t="s">
        <v>283</v>
      </c>
      <c r="V43" s="190"/>
      <c r="W43" s="190"/>
      <c r="X43" s="200">
        <f>(G43-F43)/F43</f>
        <v>0.10234285714285714</v>
      </c>
      <c r="Y43" s="15"/>
    </row>
    <row r="44" spans="1:26" ht="29.25">
      <c r="A44" s="197">
        <v>38</v>
      </c>
      <c r="B44" s="197"/>
      <c r="C44" s="190" t="s">
        <v>18</v>
      </c>
      <c r="D44" s="184">
        <v>46052</v>
      </c>
      <c r="E44" s="206" t="s">
        <v>216</v>
      </c>
      <c r="F44" s="198">
        <v>35000000</v>
      </c>
      <c r="G44" s="199">
        <v>22450044.640000001</v>
      </c>
      <c r="H44" s="190"/>
      <c r="I44" s="190" t="s">
        <v>14</v>
      </c>
      <c r="J44" s="208" t="s">
        <v>15</v>
      </c>
      <c r="K44" s="208"/>
      <c r="L44" s="190" t="s">
        <v>16</v>
      </c>
      <c r="M44" s="190" t="s">
        <v>333</v>
      </c>
      <c r="N44" s="190" t="s">
        <v>17</v>
      </c>
      <c r="O44" s="190"/>
      <c r="P44" s="208"/>
      <c r="Q44" s="197" t="s">
        <v>346</v>
      </c>
      <c r="R44" s="197" t="s">
        <v>347</v>
      </c>
      <c r="S44" s="190" t="s">
        <v>184</v>
      </c>
      <c r="T44" s="190" t="s">
        <v>203</v>
      </c>
      <c r="U44" s="190" t="s">
        <v>348</v>
      </c>
      <c r="V44" s="190"/>
      <c r="W44" s="190"/>
      <c r="X44" s="200">
        <f>(G44-F44)/F44</f>
        <v>-0.35857015314285712</v>
      </c>
      <c r="Y44" s="15"/>
      <c r="Z44" s="215">
        <f>AVERAGE(X44,X61)</f>
        <v>-0.17928507657142856</v>
      </c>
    </row>
    <row r="45" spans="1:26" ht="29.25">
      <c r="A45" s="197">
        <v>51</v>
      </c>
      <c r="B45" s="197"/>
      <c r="C45" s="190" t="s">
        <v>84</v>
      </c>
      <c r="D45" s="184">
        <v>46023</v>
      </c>
      <c r="E45" s="206" t="s">
        <v>216</v>
      </c>
      <c r="F45" s="207">
        <v>33063600</v>
      </c>
      <c r="G45" s="199">
        <v>32900000</v>
      </c>
      <c r="H45" s="190"/>
      <c r="I45" s="190" t="s">
        <v>78</v>
      </c>
      <c r="J45" s="208" t="s">
        <v>79</v>
      </c>
      <c r="K45" s="208"/>
      <c r="L45" s="190" t="s">
        <v>80</v>
      </c>
      <c r="M45" s="190" t="s">
        <v>206</v>
      </c>
      <c r="N45" s="190" t="s">
        <v>349</v>
      </c>
      <c r="O45" s="190"/>
      <c r="P45" s="208"/>
      <c r="Q45" s="197" t="s">
        <v>350</v>
      </c>
      <c r="R45" s="197" t="s">
        <v>351</v>
      </c>
      <c r="S45" s="190" t="s">
        <v>203</v>
      </c>
      <c r="T45" s="190" t="s">
        <v>203</v>
      </c>
      <c r="U45" s="190" t="s">
        <v>352</v>
      </c>
      <c r="V45" s="190"/>
      <c r="W45" s="190"/>
      <c r="X45" s="200">
        <f>(G45-F45)/F45</f>
        <v>-4.9480395359247026E-3</v>
      </c>
      <c r="Y45" s="15"/>
    </row>
    <row r="46" spans="1:26" ht="43.5">
      <c r="A46" s="197">
        <v>25</v>
      </c>
      <c r="B46" s="197"/>
      <c r="C46" s="190" t="s">
        <v>353</v>
      </c>
      <c r="D46" s="184">
        <v>46068</v>
      </c>
      <c r="E46" s="211" t="s">
        <v>216</v>
      </c>
      <c r="F46" s="198">
        <v>33012277</v>
      </c>
      <c r="G46" s="199">
        <v>17093729</v>
      </c>
      <c r="H46" s="197"/>
      <c r="I46" s="190" t="s">
        <v>354</v>
      </c>
      <c r="J46" s="208" t="s">
        <v>355</v>
      </c>
      <c r="K46" s="208"/>
      <c r="L46" s="190" t="s">
        <v>116</v>
      </c>
      <c r="M46" s="190" t="s">
        <v>227</v>
      </c>
      <c r="N46" s="190" t="s">
        <v>356</v>
      </c>
      <c r="O46" s="190"/>
      <c r="P46" s="208"/>
      <c r="Q46" s="197" t="s">
        <v>357</v>
      </c>
      <c r="R46" s="197" t="s">
        <v>358</v>
      </c>
      <c r="S46" s="190" t="s">
        <v>203</v>
      </c>
      <c r="T46" s="190" t="s">
        <v>203</v>
      </c>
      <c r="U46" s="190" t="s">
        <v>203</v>
      </c>
      <c r="V46" s="190"/>
      <c r="W46" s="190"/>
      <c r="X46" s="200">
        <f>(G46-F46)/F46</f>
        <v>-0.48220084909623168</v>
      </c>
      <c r="Y46" s="15"/>
    </row>
    <row r="47" spans="1:26" ht="43.5">
      <c r="A47" s="15">
        <v>83</v>
      </c>
      <c r="C47" s="15" t="s">
        <v>353</v>
      </c>
      <c r="D47" s="184">
        <v>46032.416666666664</v>
      </c>
      <c r="F47" s="202">
        <v>31160400</v>
      </c>
      <c r="G47" s="57">
        <v>30184000</v>
      </c>
      <c r="I47" s="203" t="s">
        <v>359</v>
      </c>
      <c r="J47" s="189" t="str">
        <f>HYPERLINK("https://tenderplus.kz/zakupki/42959642","Услуги облачного сервиса")</f>
        <v>Услуги облачного сервиса</v>
      </c>
      <c r="K47" s="189"/>
      <c r="L47" s="192" t="str">
        <f>HYPERLINK("https://zakup.sk.kz/#/ext(popup:item/3884742/lot)","Самрук-Казына")</f>
        <v>Самрук-Казына</v>
      </c>
      <c r="N47" s="205" t="s">
        <v>360</v>
      </c>
      <c r="X47" s="200">
        <f>(G47-F47)/F47</f>
        <v>-3.1334642687513639E-2</v>
      </c>
      <c r="Y47" s="15"/>
    </row>
    <row r="48" spans="1:26" ht="33">
      <c r="A48" s="15">
        <v>158</v>
      </c>
      <c r="C48" s="15" t="s">
        <v>112</v>
      </c>
      <c r="D48" s="201">
        <v>46037.479143518518</v>
      </c>
      <c r="F48" s="202">
        <v>30000000</v>
      </c>
      <c r="G48" s="57">
        <v>30000000</v>
      </c>
      <c r="I48" s="203" t="s">
        <v>24</v>
      </c>
      <c r="J48" s="188" t="str">
        <f>HYPERLINK("https://tenderplus.kz/zakupki/43139312","Услуги по аренде виртуального выделенного сервера (VPS)")</f>
        <v>Услуги по аренде виртуального выделенного сервера (VPS)</v>
      </c>
      <c r="K48" s="188"/>
      <c r="L48" s="204" t="s">
        <v>16</v>
      </c>
      <c r="N48" s="205" t="s">
        <v>17</v>
      </c>
      <c r="X48" s="200">
        <f>(G48-F48)/F48</f>
        <v>0</v>
      </c>
      <c r="Y48" s="15"/>
    </row>
    <row r="49" spans="1:30" ht="29.25">
      <c r="A49" s="197">
        <v>3</v>
      </c>
      <c r="B49" s="197"/>
      <c r="C49" s="190" t="s">
        <v>67</v>
      </c>
      <c r="D49" s="184">
        <v>46327</v>
      </c>
      <c r="E49" s="197"/>
      <c r="F49" s="198">
        <v>171458000</v>
      </c>
      <c r="G49" s="199"/>
      <c r="H49" s="197"/>
      <c r="I49" s="235" t="s">
        <v>361</v>
      </c>
      <c r="J49" s="208" t="s">
        <v>362</v>
      </c>
      <c r="K49" s="208"/>
      <c r="L49" s="190" t="s">
        <v>116</v>
      </c>
      <c r="M49" s="190" t="s">
        <v>218</v>
      </c>
      <c r="N49" s="190"/>
      <c r="O49" s="190"/>
      <c r="P49" s="190"/>
      <c r="Q49" s="197" t="s">
        <v>363</v>
      </c>
      <c r="R49" s="197" t="s">
        <v>364</v>
      </c>
      <c r="S49" s="190" t="s">
        <v>184</v>
      </c>
      <c r="T49" s="190" t="s">
        <v>203</v>
      </c>
      <c r="U49" s="190" t="s">
        <v>365</v>
      </c>
      <c r="V49" s="190"/>
      <c r="W49" s="190"/>
      <c r="X49" s="200">
        <v>0</v>
      </c>
      <c r="Y49" s="15"/>
    </row>
    <row r="50" spans="1:30" s="60" customFormat="1" ht="66">
      <c r="A50" s="15">
        <v>159</v>
      </c>
      <c r="B50" s="15"/>
      <c r="C50" s="15" t="s">
        <v>39</v>
      </c>
      <c r="D50" s="201">
        <v>46057.649780092594</v>
      </c>
      <c r="E50" s="15"/>
      <c r="F50" s="202">
        <v>25110000</v>
      </c>
      <c r="G50" s="57">
        <v>24904302</v>
      </c>
      <c r="H50" s="15"/>
      <c r="I50" s="203" t="s">
        <v>366</v>
      </c>
      <c r="J50" s="188" t="str">
        <f>HYPERLINK("https://tenderplus.kz/zakupki/43566479","Услуги по предоставлению вычислительных мощностей для физического размещения информации на сервере, постоянно находящемся в сети Интернет")</f>
        <v>Услуги по предоставлению вычислительных мощностей для физического размещения информации на сервере, постоянно находящемся в сети Интернет</v>
      </c>
      <c r="K50" s="188"/>
      <c r="L50" s="204" t="s">
        <v>16</v>
      </c>
      <c r="M50" s="15"/>
      <c r="N50" s="205" t="s">
        <v>17</v>
      </c>
      <c r="O50" s="15"/>
      <c r="P50" s="15"/>
      <c r="Q50" s="15"/>
      <c r="R50" s="15"/>
      <c r="S50" s="15"/>
      <c r="T50" s="15"/>
      <c r="U50" s="15"/>
      <c r="V50" s="15"/>
      <c r="W50" s="15"/>
      <c r="X50" s="200">
        <f>(G50-F50)/F50</f>
        <v>-8.1918757467144571E-3</v>
      </c>
      <c r="Y50" s="15" t="s">
        <v>367</v>
      </c>
      <c r="Z50" s="14"/>
      <c r="AA50" s="14"/>
      <c r="AB50" s="14"/>
      <c r="AC50" s="14"/>
      <c r="AD50" s="14"/>
    </row>
    <row r="51" spans="1:30" s="60" customFormat="1" ht="29.25">
      <c r="A51" s="197">
        <v>39</v>
      </c>
      <c r="B51" s="197"/>
      <c r="C51" s="190" t="s">
        <v>214</v>
      </c>
      <c r="D51" s="184">
        <v>46023</v>
      </c>
      <c r="E51" s="206" t="s">
        <v>216</v>
      </c>
      <c r="F51" s="207">
        <v>25000000</v>
      </c>
      <c r="G51" s="199">
        <v>20833330</v>
      </c>
      <c r="H51" s="190"/>
      <c r="I51" s="190" t="s">
        <v>271</v>
      </c>
      <c r="J51" s="208" t="s">
        <v>231</v>
      </c>
      <c r="K51" s="208"/>
      <c r="L51" s="190" t="s">
        <v>116</v>
      </c>
      <c r="M51" s="190" t="s">
        <v>218</v>
      </c>
      <c r="N51" s="190" t="s">
        <v>368</v>
      </c>
      <c r="O51" s="190"/>
      <c r="P51" s="208"/>
      <c r="Q51" s="197" t="s">
        <v>369</v>
      </c>
      <c r="R51" s="197" t="s">
        <v>370</v>
      </c>
      <c r="S51" s="190" t="s">
        <v>203</v>
      </c>
      <c r="T51" s="190" t="s">
        <v>203</v>
      </c>
      <c r="U51" s="190" t="s">
        <v>371</v>
      </c>
      <c r="V51" s="190"/>
      <c r="W51" s="190"/>
      <c r="X51" s="200">
        <f>(G51-F51)/F51</f>
        <v>-0.1666668</v>
      </c>
      <c r="Y51" s="213">
        <f>AVERAGE(X51,X46)</f>
        <v>-0.32443382454811587</v>
      </c>
      <c r="Z51" s="14"/>
      <c r="AA51" s="14"/>
      <c r="AB51" s="14"/>
      <c r="AC51" s="14"/>
      <c r="AD51" s="14"/>
    </row>
    <row r="52" spans="1:30" s="60" customFormat="1">
      <c r="A52" s="15">
        <v>84</v>
      </c>
      <c r="B52" s="15"/>
      <c r="C52" s="15" t="s">
        <v>214</v>
      </c>
      <c r="D52" s="184">
        <v>46058.416666666664</v>
      </c>
      <c r="E52" s="15"/>
      <c r="F52" s="202">
        <v>25000000</v>
      </c>
      <c r="G52" s="57">
        <v>24750000</v>
      </c>
      <c r="H52" s="15"/>
      <c r="I52" s="203" t="s">
        <v>372</v>
      </c>
      <c r="J52" s="189" t="str">
        <f>HYPERLINK("https://tenderplus.kz/zakupki/43271335","Услуги облачного сервиса")</f>
        <v>Услуги облачного сервиса</v>
      </c>
      <c r="K52" s="189"/>
      <c r="L52" s="192" t="str">
        <f>HYPERLINK("https://zakup.sk.kz/#/ext(popup:item/3911690/lot)","Самрук-Казына")</f>
        <v>Самрук-Казына</v>
      </c>
      <c r="M52" s="15"/>
      <c r="N52" s="205" t="s">
        <v>373</v>
      </c>
      <c r="O52" s="15"/>
      <c r="P52" s="15"/>
      <c r="Q52" s="15"/>
      <c r="R52" s="15"/>
      <c r="S52" s="15"/>
      <c r="T52" s="15"/>
      <c r="U52" s="15"/>
      <c r="V52" s="15"/>
      <c r="W52" s="15"/>
      <c r="X52" s="200">
        <f>(G52-F52)/F52</f>
        <v>-0.01</v>
      </c>
      <c r="Y52" s="15"/>
      <c r="Z52" s="14"/>
      <c r="AA52" s="14"/>
      <c r="AB52" s="14"/>
      <c r="AC52" s="14"/>
      <c r="AD52" s="14"/>
    </row>
    <row r="53" spans="1:30" ht="57.75">
      <c r="A53" s="15">
        <v>63</v>
      </c>
      <c r="D53" s="217">
        <v>46134.375</v>
      </c>
      <c r="F53" s="202">
        <v>24760714.289999999</v>
      </c>
      <c r="G53" s="57">
        <v>24700000</v>
      </c>
      <c r="I53" s="203" t="s">
        <v>374</v>
      </c>
      <c r="J53" s="189" t="str">
        <f>HYPERLINK("https://tenderplus.kz/zakupki/45187164","Услуги по аренде серверного оборудования")</f>
        <v>Услуги по аренде серверного оборудования</v>
      </c>
      <c r="K53" s="189"/>
      <c r="L53" s="204" t="s">
        <v>16</v>
      </c>
      <c r="N53" s="205" t="s">
        <v>375</v>
      </c>
      <c r="X53" s="200">
        <f>(G53-F53)/F53</f>
        <v>-2.4520411361686574E-3</v>
      </c>
      <c r="Y53" s="15"/>
    </row>
    <row r="54" spans="1:30" ht="33">
      <c r="A54" s="15">
        <v>160</v>
      </c>
      <c r="C54" s="15" t="s">
        <v>18</v>
      </c>
      <c r="D54" s="201">
        <v>46042.478564814817</v>
      </c>
      <c r="F54" s="202">
        <v>24651867.859999999</v>
      </c>
      <c r="G54" s="57">
        <v>24651867.859999999</v>
      </c>
      <c r="I54" s="203" t="s">
        <v>376</v>
      </c>
      <c r="J54" s="188" t="str">
        <f>HYPERLINK("https://tenderplus.kz/zakupki/43231152","Услуги по аренде виртуального выделенного сервера (VPS)")</f>
        <v>Услуги по аренде виртуального выделенного сервера (VPS)</v>
      </c>
      <c r="K54" s="188"/>
      <c r="L54" s="204" t="s">
        <v>16</v>
      </c>
      <c r="N54" s="205" t="s">
        <v>17</v>
      </c>
      <c r="X54" s="200">
        <f>(G54-F54)/F54</f>
        <v>0</v>
      </c>
      <c r="Y54" s="15"/>
    </row>
    <row r="55" spans="1:30" ht="30.75">
      <c r="A55" s="15">
        <v>64</v>
      </c>
      <c r="D55" s="217">
        <v>46136.729166666664</v>
      </c>
      <c r="F55" s="202">
        <v>24165000</v>
      </c>
      <c r="G55" s="57">
        <v>18600000</v>
      </c>
      <c r="I55" s="203" t="s">
        <v>377</v>
      </c>
      <c r="J55" s="189" t="str">
        <f>HYPERLINK("https://tenderplus.kz/zakupki/45345320","Услуги по аренде виртуального выделенного сервера (VPS)")</f>
        <v>Услуги по аренде виртуального выделенного сервера (VPS)</v>
      </c>
      <c r="K55" s="189"/>
      <c r="L55" s="192" t="str">
        <f>HYPERLINK("https://zakup.sk.kz/#/ext(popup:item/4043116/lot)","Самрук-Казына")</f>
        <v>Самрук-Казына</v>
      </c>
      <c r="N55" s="205" t="s">
        <v>378</v>
      </c>
      <c r="X55" s="200">
        <f>(G55-F55)/F55</f>
        <v>-0.23029174425822471</v>
      </c>
      <c r="Y55" s="15"/>
    </row>
    <row r="56" spans="1:30" ht="91.5">
      <c r="A56" s="15">
        <v>52</v>
      </c>
      <c r="C56" s="15" t="s">
        <v>214</v>
      </c>
      <c r="D56" s="184">
        <v>46023</v>
      </c>
      <c r="F56" s="202">
        <v>23485602</v>
      </c>
      <c r="G56" s="57">
        <v>20000000</v>
      </c>
      <c r="I56" s="203" t="s">
        <v>379</v>
      </c>
      <c r="J56" s="189" t="str">
        <f>HYPERLINK("https://tenderplus.kz/zakupki/43137499","Услуги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56" s="189"/>
      <c r="L56" s="204" t="s">
        <v>16</v>
      </c>
      <c r="N56" s="205" t="s">
        <v>380</v>
      </c>
      <c r="X56" s="200">
        <f>(G56-F56)/F56</f>
        <v>-0.14841442003487923</v>
      </c>
      <c r="Y56" s="15"/>
    </row>
    <row r="57" spans="1:30" ht="29.25">
      <c r="A57" s="197">
        <v>15</v>
      </c>
      <c r="B57" s="197"/>
      <c r="C57" s="190" t="s">
        <v>18</v>
      </c>
      <c r="D57" s="201">
        <v>46054.375</v>
      </c>
      <c r="E57" s="206" t="s">
        <v>216</v>
      </c>
      <c r="F57" s="207">
        <v>23334839</v>
      </c>
      <c r="G57" s="199">
        <v>18950000</v>
      </c>
      <c r="H57" s="197"/>
      <c r="I57" s="190" t="s">
        <v>381</v>
      </c>
      <c r="J57" s="208" t="s">
        <v>382</v>
      </c>
      <c r="K57" s="208"/>
      <c r="L57" s="190" t="s">
        <v>16</v>
      </c>
      <c r="M57" s="190" t="s">
        <v>218</v>
      </c>
      <c r="N57" s="190" t="s">
        <v>65</v>
      </c>
      <c r="O57" s="190"/>
      <c r="P57" s="208"/>
      <c r="Q57" s="197" t="s">
        <v>383</v>
      </c>
      <c r="R57" s="197" t="s">
        <v>384</v>
      </c>
      <c r="S57" s="190" t="s">
        <v>203</v>
      </c>
      <c r="T57" s="190" t="s">
        <v>203</v>
      </c>
      <c r="U57" s="190" t="s">
        <v>385</v>
      </c>
      <c r="V57" s="190"/>
      <c r="W57" s="190"/>
      <c r="X57" s="200">
        <f>(G57-F57)/F57</f>
        <v>-0.18790954589401709</v>
      </c>
      <c r="Y57" s="15"/>
    </row>
    <row r="58" spans="1:30" ht="29.25">
      <c r="A58" s="197">
        <v>2</v>
      </c>
      <c r="B58" s="197"/>
      <c r="C58" s="190" t="s">
        <v>67</v>
      </c>
      <c r="D58" s="184">
        <v>46327</v>
      </c>
      <c r="E58" s="197"/>
      <c r="F58" s="198">
        <v>85713864</v>
      </c>
      <c r="G58" s="199"/>
      <c r="H58" s="197"/>
      <c r="I58" s="235" t="s">
        <v>386</v>
      </c>
      <c r="J58" s="190" t="s">
        <v>387</v>
      </c>
      <c r="K58" s="190"/>
      <c r="L58" s="190" t="s">
        <v>388</v>
      </c>
      <c r="M58" s="190" t="s">
        <v>389</v>
      </c>
      <c r="N58" s="190"/>
      <c r="O58" s="190"/>
      <c r="P58" s="190"/>
      <c r="Q58" s="212" t="s">
        <v>390</v>
      </c>
      <c r="R58" s="212" t="s">
        <v>390</v>
      </c>
      <c r="S58" s="190" t="s">
        <v>184</v>
      </c>
      <c r="T58" s="190" t="s">
        <v>203</v>
      </c>
      <c r="U58" s="190" t="s">
        <v>365</v>
      </c>
      <c r="V58" s="190"/>
      <c r="W58" s="190"/>
      <c r="X58" s="200">
        <v>0</v>
      </c>
      <c r="Y58" s="15"/>
    </row>
    <row r="59" spans="1:30">
      <c r="A59" s="15">
        <v>56</v>
      </c>
      <c r="C59" s="15" t="s">
        <v>112</v>
      </c>
      <c r="D59" s="184">
        <v>46087.375</v>
      </c>
      <c r="F59" s="202">
        <v>21000000</v>
      </c>
      <c r="G59" s="57">
        <v>21000000</v>
      </c>
      <c r="I59" s="203" t="s">
        <v>391</v>
      </c>
      <c r="J59" s="189" t="str">
        <f>HYPERLINK("https://tenderplus.kz/zakupki/44328426","Услуги по аренде серверного оборудования")</f>
        <v>Услуги по аренде серверного оборудования</v>
      </c>
      <c r="K59" s="189"/>
      <c r="L59" s="204" t="s">
        <v>16</v>
      </c>
      <c r="N59" s="205" t="s">
        <v>59</v>
      </c>
      <c r="X59" s="200">
        <f>(G59-F59)/F59</f>
        <v>0</v>
      </c>
      <c r="Y59" s="15"/>
    </row>
    <row r="60" spans="1:30" ht="43.5">
      <c r="A60" s="197">
        <v>34</v>
      </c>
      <c r="B60" s="197"/>
      <c r="C60" s="190" t="s">
        <v>101</v>
      </c>
      <c r="D60" s="184">
        <v>46023</v>
      </c>
      <c r="E60" s="208" t="s">
        <v>392</v>
      </c>
      <c r="F60" s="199">
        <v>20833330</v>
      </c>
      <c r="G60" s="199">
        <v>20833330</v>
      </c>
      <c r="H60" s="190" t="s">
        <v>393</v>
      </c>
      <c r="I60" s="190" t="s">
        <v>394</v>
      </c>
      <c r="J60" s="208" t="s">
        <v>231</v>
      </c>
      <c r="K60" s="208"/>
      <c r="L60" s="190" t="s">
        <v>16</v>
      </c>
      <c r="M60" s="190" t="s">
        <v>227</v>
      </c>
      <c r="N60" s="190" t="s">
        <v>368</v>
      </c>
      <c r="O60" s="190"/>
      <c r="P60" s="208"/>
      <c r="Q60" s="197" t="s">
        <v>395</v>
      </c>
      <c r="R60" s="197" t="s">
        <v>229</v>
      </c>
      <c r="S60" s="190" t="s">
        <v>184</v>
      </c>
      <c r="T60" s="190" t="s">
        <v>203</v>
      </c>
      <c r="U60" s="190" t="s">
        <v>396</v>
      </c>
      <c r="V60" s="190"/>
      <c r="W60" s="190"/>
      <c r="X60" s="200">
        <f>(G60-F60)/F60</f>
        <v>0</v>
      </c>
      <c r="Y60" s="15"/>
      <c r="Z60" s="210">
        <f>AVERAGE(X16,X60,X101,X114)</f>
        <v>-7.0251612869604912E-3</v>
      </c>
    </row>
    <row r="61" spans="1:30" ht="216.75">
      <c r="A61" s="197">
        <v>50</v>
      </c>
      <c r="B61" s="197"/>
      <c r="C61" s="190" t="s">
        <v>101</v>
      </c>
      <c r="D61" s="184">
        <v>46042</v>
      </c>
      <c r="E61" s="208" t="s">
        <v>397</v>
      </c>
      <c r="F61" s="207">
        <v>19900000</v>
      </c>
      <c r="G61" s="199">
        <v>19900000</v>
      </c>
      <c r="H61" s="208" t="s">
        <v>398</v>
      </c>
      <c r="I61" s="190" t="s">
        <v>57</v>
      </c>
      <c r="J61" s="208" t="s">
        <v>58</v>
      </c>
      <c r="K61" s="208"/>
      <c r="L61" s="190" t="s">
        <v>16</v>
      </c>
      <c r="M61" s="190" t="s">
        <v>227</v>
      </c>
      <c r="N61" s="190" t="s">
        <v>59</v>
      </c>
      <c r="O61" s="190"/>
      <c r="P61" s="208"/>
      <c r="Q61" s="197" t="s">
        <v>399</v>
      </c>
      <c r="R61" s="197" t="s">
        <v>400</v>
      </c>
      <c r="S61" s="190" t="s">
        <v>203</v>
      </c>
      <c r="T61" s="190" t="s">
        <v>203</v>
      </c>
      <c r="U61" s="190" t="s">
        <v>207</v>
      </c>
      <c r="V61" s="190"/>
      <c r="W61" s="190"/>
      <c r="X61" s="200">
        <f>(G61-F61)/F61</f>
        <v>0</v>
      </c>
      <c r="Y61" s="15"/>
    </row>
    <row r="62" spans="1:30">
      <c r="A62" s="15">
        <v>87</v>
      </c>
      <c r="C62" s="15" t="s">
        <v>39</v>
      </c>
      <c r="D62" s="184">
        <v>46072.375</v>
      </c>
      <c r="F62" s="202">
        <v>19338159.359999999</v>
      </c>
      <c r="G62" s="57">
        <v>19338159</v>
      </c>
      <c r="I62" s="203" t="s">
        <v>401</v>
      </c>
      <c r="J62" s="189" t="str">
        <f>HYPERLINK("https://tenderplus.kz/zakupki/43849256","Услуги облачного сервиса")</f>
        <v>Услуги облачного сервиса</v>
      </c>
      <c r="K62" s="189"/>
      <c r="L62" s="204" t="s">
        <v>16</v>
      </c>
      <c r="N62" s="205" t="s">
        <v>402</v>
      </c>
      <c r="X62" s="200">
        <f>(G62-F62)/F62</f>
        <v>-1.8616042649260365E-8</v>
      </c>
      <c r="Y62" s="15"/>
    </row>
    <row r="63" spans="1:30" ht="29.25">
      <c r="A63" s="197">
        <v>18</v>
      </c>
      <c r="B63" s="197"/>
      <c r="C63" s="190" t="s">
        <v>18</v>
      </c>
      <c r="D63" s="201">
        <v>46055</v>
      </c>
      <c r="E63" s="206" t="s">
        <v>216</v>
      </c>
      <c r="F63" s="207">
        <v>19338159</v>
      </c>
      <c r="G63" s="199">
        <v>19338159</v>
      </c>
      <c r="H63" s="197"/>
      <c r="I63" s="190" t="s">
        <v>403</v>
      </c>
      <c r="J63" s="208" t="s">
        <v>231</v>
      </c>
      <c r="K63" s="208"/>
      <c r="L63" s="190" t="s">
        <v>16</v>
      </c>
      <c r="M63" s="190" t="s">
        <v>333</v>
      </c>
      <c r="N63" s="190" t="s">
        <v>402</v>
      </c>
      <c r="O63" s="190"/>
      <c r="P63" s="208"/>
      <c r="Q63" s="197" t="s">
        <v>404</v>
      </c>
      <c r="R63" s="197" t="s">
        <v>405</v>
      </c>
      <c r="S63" s="190" t="s">
        <v>203</v>
      </c>
      <c r="T63" s="190" t="s">
        <v>203</v>
      </c>
      <c r="U63" s="190" t="s">
        <v>406</v>
      </c>
      <c r="V63" s="190"/>
      <c r="W63" s="190"/>
      <c r="X63" s="200">
        <f>(G63-F63)/F63</f>
        <v>0</v>
      </c>
      <c r="Y63" s="15"/>
    </row>
    <row r="64" spans="1:30" ht="174">
      <c r="A64" s="197">
        <v>22</v>
      </c>
      <c r="B64" s="197"/>
      <c r="C64" s="190" t="s">
        <v>407</v>
      </c>
      <c r="D64" s="184">
        <v>46037</v>
      </c>
      <c r="E64" s="211" t="s">
        <v>216</v>
      </c>
      <c r="F64" s="207">
        <v>18437496</v>
      </c>
      <c r="G64" s="199">
        <v>18437496.43</v>
      </c>
      <c r="H64" s="190"/>
      <c r="I64" s="190" t="s">
        <v>408</v>
      </c>
      <c r="J64" s="208" t="s">
        <v>257</v>
      </c>
      <c r="K64" s="208"/>
      <c r="L64" s="190" t="s">
        <v>116</v>
      </c>
      <c r="M64" s="190" t="s">
        <v>258</v>
      </c>
      <c r="N64" s="190" t="s">
        <v>409</v>
      </c>
      <c r="O64" s="190"/>
      <c r="P64" s="208"/>
      <c r="Q64" s="197" t="s">
        <v>410</v>
      </c>
      <c r="R64" s="197" t="s">
        <v>411</v>
      </c>
      <c r="S64" s="190" t="s">
        <v>203</v>
      </c>
      <c r="T64" s="190" t="s">
        <v>412</v>
      </c>
      <c r="U64" s="190" t="s">
        <v>413</v>
      </c>
      <c r="V64" s="190"/>
      <c r="W64" s="190"/>
      <c r="X64" s="200">
        <f>(G64-F64)/F64</f>
        <v>2.3322038941837696E-8</v>
      </c>
      <c r="Y64" s="15"/>
    </row>
    <row r="65" spans="1:25" ht="29.25">
      <c r="A65" s="197">
        <v>27</v>
      </c>
      <c r="B65" s="197"/>
      <c r="C65" s="190" t="s">
        <v>214</v>
      </c>
      <c r="D65" s="184">
        <v>46016</v>
      </c>
      <c r="E65" s="211" t="s">
        <v>216</v>
      </c>
      <c r="F65" s="198">
        <v>18000000</v>
      </c>
      <c r="G65" s="199"/>
      <c r="H65" s="197"/>
      <c r="I65" s="190" t="s">
        <v>414</v>
      </c>
      <c r="J65" s="190" t="s">
        <v>292</v>
      </c>
      <c r="K65" s="190"/>
      <c r="L65" s="190" t="s">
        <v>280</v>
      </c>
      <c r="M65" s="190" t="s">
        <v>293</v>
      </c>
      <c r="N65" s="190"/>
      <c r="O65" s="190"/>
      <c r="P65" s="190"/>
      <c r="Q65" s="197" t="s">
        <v>415</v>
      </c>
      <c r="R65" s="197" t="s">
        <v>229</v>
      </c>
      <c r="S65" s="190" t="s">
        <v>184</v>
      </c>
      <c r="T65" s="190" t="s">
        <v>203</v>
      </c>
      <c r="U65" s="190" t="s">
        <v>416</v>
      </c>
      <c r="V65" s="190"/>
      <c r="W65" s="190"/>
      <c r="X65" s="200">
        <v>0</v>
      </c>
      <c r="Y65" s="15"/>
    </row>
    <row r="66" spans="1:25" ht="66">
      <c r="A66" s="15">
        <v>162</v>
      </c>
      <c r="D66" s="218">
        <v>46186.375</v>
      </c>
      <c r="F66" s="202">
        <v>17023809.52</v>
      </c>
      <c r="G66" s="57">
        <v>14300000</v>
      </c>
      <c r="I66" s="203" t="s">
        <v>417</v>
      </c>
      <c r="J66" s="188" t="str">
        <f>HYPERLINK("https://tenderplus.kz/zakupki/46060158","Услуги по предоставлению вычислительных мощностей для физического размещения информации на сервере, постоянно находящемся в сети Интернет")</f>
        <v>Услуги по предоставлению вычислительных мощностей для физического размещения информации на сервере, постоянно находящемся в сети Интернет</v>
      </c>
      <c r="K66" s="188"/>
      <c r="L66" s="191" t="str">
        <f>HYPERLINK("https://eep.mitwork.kz/ru/publics/lot/550605","Mitwork")</f>
        <v>Mitwork</v>
      </c>
      <c r="N66" s="205" t="s">
        <v>418</v>
      </c>
      <c r="X66" s="200">
        <f>(G66-F66)/F66</f>
        <v>-0.15999999981202795</v>
      </c>
      <c r="Y66" s="15"/>
    </row>
    <row r="67" spans="1:25" ht="29.25">
      <c r="A67" s="197">
        <v>1</v>
      </c>
      <c r="B67" s="197"/>
      <c r="C67" s="190" t="s">
        <v>39</v>
      </c>
      <c r="D67" s="184">
        <v>46327</v>
      </c>
      <c r="E67" s="197"/>
      <c r="F67" s="207">
        <v>52000000</v>
      </c>
      <c r="G67" s="199"/>
      <c r="H67" s="197"/>
      <c r="I67" s="235" t="s">
        <v>419</v>
      </c>
      <c r="J67" s="190" t="s">
        <v>420</v>
      </c>
      <c r="K67" s="190"/>
      <c r="L67" s="190" t="s">
        <v>421</v>
      </c>
      <c r="M67" s="190" t="s">
        <v>208</v>
      </c>
      <c r="N67" s="190"/>
      <c r="O67" s="190"/>
      <c r="P67" s="190"/>
      <c r="Q67" s="214" t="s">
        <v>390</v>
      </c>
      <c r="R67" s="214" t="s">
        <v>390</v>
      </c>
      <c r="S67" s="190" t="s">
        <v>203</v>
      </c>
      <c r="T67" s="190" t="s">
        <v>203</v>
      </c>
      <c r="U67" s="190" t="s">
        <v>365</v>
      </c>
      <c r="V67" s="190"/>
      <c r="W67" s="190"/>
      <c r="X67" s="200">
        <v>0</v>
      </c>
      <c r="Y67" s="15"/>
    </row>
    <row r="68" spans="1:25" ht="33">
      <c r="A68" s="15">
        <v>163</v>
      </c>
      <c r="C68" s="15" t="s">
        <v>67</v>
      </c>
      <c r="D68" s="201">
        <v>46084.41233796296</v>
      </c>
      <c r="F68" s="202">
        <v>15625000</v>
      </c>
      <c r="G68" s="57">
        <v>15000000</v>
      </c>
      <c r="I68" s="203" t="s">
        <v>86</v>
      </c>
      <c r="J68" s="188" t="str">
        <f>HYPERLINK("https://tenderplus.kz/zakupki/44314557","Услуги по аренде виртуального выделенного сервера (VPS)")</f>
        <v>Услуги по аренде виртуального выделенного сервера (VPS)</v>
      </c>
      <c r="K68" s="188"/>
      <c r="L68" s="204" t="s">
        <v>16</v>
      </c>
      <c r="N68" s="205" t="s">
        <v>87</v>
      </c>
      <c r="X68" s="200">
        <f>(G68-F68)/F68</f>
        <v>-0.04</v>
      </c>
      <c r="Y68" s="15"/>
    </row>
    <row r="69" spans="1:25" ht="29.25">
      <c r="A69" s="197">
        <v>44</v>
      </c>
      <c r="B69" s="197"/>
      <c r="C69" s="190" t="s">
        <v>18</v>
      </c>
      <c r="D69" s="201">
        <v>46055</v>
      </c>
      <c r="E69" s="197"/>
      <c r="F69" s="207">
        <v>15534750</v>
      </c>
      <c r="G69" s="199">
        <v>14840528.6</v>
      </c>
      <c r="H69" s="197"/>
      <c r="I69" s="190" t="s">
        <v>30</v>
      </c>
      <c r="J69" s="208" t="s">
        <v>31</v>
      </c>
      <c r="K69" s="208"/>
      <c r="L69" s="190" t="s">
        <v>116</v>
      </c>
      <c r="M69" s="190" t="s">
        <v>218</v>
      </c>
      <c r="N69" s="190" t="s">
        <v>422</v>
      </c>
      <c r="O69" s="190"/>
      <c r="P69" s="208"/>
      <c r="Q69" s="197" t="s">
        <v>423</v>
      </c>
      <c r="R69" s="197" t="s">
        <v>424</v>
      </c>
      <c r="S69" s="190" t="s">
        <v>203</v>
      </c>
      <c r="T69" s="190" t="s">
        <v>203</v>
      </c>
      <c r="U69" s="190" t="s">
        <v>425</v>
      </c>
      <c r="V69" s="190"/>
      <c r="W69" s="190"/>
      <c r="X69" s="200">
        <f>(G69-F69)/F69</f>
        <v>-4.4688289158177658E-2</v>
      </c>
      <c r="Y69" s="15"/>
    </row>
    <row r="70" spans="1:25" ht="43.5">
      <c r="A70" s="197">
        <v>46</v>
      </c>
      <c r="B70" s="197"/>
      <c r="C70" s="190" t="s">
        <v>353</v>
      </c>
      <c r="D70" s="184">
        <v>46027</v>
      </c>
      <c r="E70" s="208" t="s">
        <v>426</v>
      </c>
      <c r="F70" s="207">
        <v>15000000</v>
      </c>
      <c r="G70" s="199"/>
      <c r="H70" s="197" t="s">
        <v>427</v>
      </c>
      <c r="I70" s="190" t="s">
        <v>428</v>
      </c>
      <c r="J70" s="208" t="s">
        <v>339</v>
      </c>
      <c r="K70" s="208"/>
      <c r="L70" s="190" t="s">
        <v>16</v>
      </c>
      <c r="M70" s="190" t="s">
        <v>218</v>
      </c>
      <c r="N70" s="190" t="s">
        <v>232</v>
      </c>
      <c r="O70" s="190"/>
      <c r="P70" s="208"/>
      <c r="Q70" s="197" t="s">
        <v>429</v>
      </c>
      <c r="R70" s="197" t="s">
        <v>370</v>
      </c>
      <c r="S70" s="190" t="s">
        <v>203</v>
      </c>
      <c r="T70" s="190" t="s">
        <v>203</v>
      </c>
      <c r="U70" s="190" t="s">
        <v>430</v>
      </c>
      <c r="V70" s="190"/>
      <c r="W70" s="190"/>
      <c r="X70" s="200">
        <v>0</v>
      </c>
      <c r="Y70" s="15"/>
    </row>
    <row r="71" spans="1:25" ht="45.75">
      <c r="A71" s="15">
        <v>130</v>
      </c>
      <c r="D71" s="184">
        <v>46078.375</v>
      </c>
      <c r="F71" s="202">
        <v>15000000</v>
      </c>
      <c r="G71" s="57"/>
      <c r="I71" s="203" t="s">
        <v>105</v>
      </c>
      <c r="J71" s="189" t="str">
        <f>HYPERLINK("https://tenderplus.kz/zakupki/44160103","Услуги по аренде виртуального выделенного сервера (VPS) Услуги по аренде виртуального выделенного сервера (VPS)")</f>
        <v>Услуги по аренде виртуального выделенного сервера (VPS) Услуги по аренде виртуального выделенного сервера (VPS)</v>
      </c>
      <c r="K71" s="189"/>
      <c r="L71" s="204" t="s">
        <v>16</v>
      </c>
      <c r="N71" s="205" t="s">
        <v>213</v>
      </c>
      <c r="X71" s="200"/>
      <c r="Y71" s="15"/>
    </row>
    <row r="72" spans="1:25" ht="30.75">
      <c r="A72" s="15">
        <v>103</v>
      </c>
      <c r="C72" s="15" t="s">
        <v>101</v>
      </c>
      <c r="D72" s="184">
        <v>46099.610046296293</v>
      </c>
      <c r="F72" s="202">
        <v>15000000</v>
      </c>
      <c r="G72" s="57">
        <v>15000000</v>
      </c>
      <c r="I72" s="203" t="s">
        <v>105</v>
      </c>
      <c r="J72" s="189" t="str">
        <f>HYPERLINK("https://tenderplus.kz/zakupki/44639801","Услуги по аренде виртуального выделенного сервера (VPS)")</f>
        <v>Услуги по аренде виртуального выделенного сервера (VPS)</v>
      </c>
      <c r="K72" s="189"/>
      <c r="L72" s="204" t="s">
        <v>16</v>
      </c>
      <c r="N72" s="205" t="s">
        <v>106</v>
      </c>
      <c r="X72" s="200">
        <f>(G72-F72)/F72</f>
        <v>0</v>
      </c>
      <c r="Y72" s="15"/>
    </row>
    <row r="73" spans="1:25" ht="30.75">
      <c r="A73" s="15">
        <v>104</v>
      </c>
      <c r="D73" s="217">
        <v>46162.375</v>
      </c>
      <c r="F73" s="202">
        <v>14400000</v>
      </c>
      <c r="G73" s="57">
        <v>10960000</v>
      </c>
      <c r="I73" s="203" t="s">
        <v>108</v>
      </c>
      <c r="J73" s="189" t="str">
        <f>HYPERLINK("https://tenderplus.kz/zakupki/45648744","Услуги по аренде виртуального выделенного сервера (VPS)")</f>
        <v>Услуги по аренде виртуального выделенного сервера (VPS)</v>
      </c>
      <c r="K73" s="189"/>
      <c r="L73" s="204" t="s">
        <v>16</v>
      </c>
      <c r="N73" s="205" t="s">
        <v>431</v>
      </c>
      <c r="X73" s="200">
        <f>(G73-F73)/F73</f>
        <v>-0.2388888888888889</v>
      </c>
      <c r="Y73" s="15"/>
    </row>
    <row r="74" spans="1:25" ht="29.25">
      <c r="A74" s="15">
        <v>90</v>
      </c>
      <c r="C74" s="15" t="s">
        <v>432</v>
      </c>
      <c r="D74" s="184">
        <v>46088.375</v>
      </c>
      <c r="F74" s="202">
        <v>13392857.15</v>
      </c>
      <c r="G74" s="57">
        <v>13390000</v>
      </c>
      <c r="I74" s="203" t="s">
        <v>433</v>
      </c>
      <c r="J74" s="189" t="str">
        <f>HYPERLINK("https://tenderplus.kz/zakupki/44365783","Услуги облачного сервиса")</f>
        <v>Услуги облачного сервиса</v>
      </c>
      <c r="K74" s="189"/>
      <c r="L74" s="204" t="s">
        <v>16</v>
      </c>
      <c r="N74" s="205" t="s">
        <v>434</v>
      </c>
      <c r="X74" s="200">
        <f>(G74-F74)/F74</f>
        <v>-2.133338665529164E-4</v>
      </c>
      <c r="Y74" s="15"/>
    </row>
    <row r="75" spans="1:25" ht="144.75">
      <c r="A75" s="197">
        <v>32</v>
      </c>
      <c r="B75" s="197"/>
      <c r="C75" s="190" t="s">
        <v>407</v>
      </c>
      <c r="D75" s="201">
        <v>46054.375</v>
      </c>
      <c r="E75" s="211" t="s">
        <v>216</v>
      </c>
      <c r="F75" s="207">
        <v>13392857</v>
      </c>
      <c r="G75" s="199">
        <v>13390000</v>
      </c>
      <c r="H75" s="197"/>
      <c r="I75" s="190" t="s">
        <v>435</v>
      </c>
      <c r="J75" s="208" t="s">
        <v>231</v>
      </c>
      <c r="K75" s="208"/>
      <c r="L75" s="190" t="s">
        <v>16</v>
      </c>
      <c r="M75" s="190" t="s">
        <v>227</v>
      </c>
      <c r="N75" s="190" t="s">
        <v>434</v>
      </c>
      <c r="O75" s="190"/>
      <c r="P75" s="208"/>
      <c r="Q75" s="197" t="s">
        <v>436</v>
      </c>
      <c r="R75" s="197" t="s">
        <v>437</v>
      </c>
      <c r="S75" s="190" t="s">
        <v>203</v>
      </c>
      <c r="T75" s="190" t="s">
        <v>438</v>
      </c>
      <c r="U75" s="190" t="s">
        <v>439</v>
      </c>
      <c r="V75" s="190"/>
      <c r="W75" s="190"/>
      <c r="X75" s="200">
        <f>(G75-F75)/F75</f>
        <v>-2.1332266894210847E-4</v>
      </c>
      <c r="Y75" s="15"/>
    </row>
    <row r="76" spans="1:25" ht="43.5">
      <c r="A76" s="197">
        <v>37</v>
      </c>
      <c r="B76" s="197"/>
      <c r="C76" s="190" t="s">
        <v>101</v>
      </c>
      <c r="D76" s="184">
        <v>46025</v>
      </c>
      <c r="E76" s="208" t="s">
        <v>440</v>
      </c>
      <c r="F76" s="207">
        <v>13000000</v>
      </c>
      <c r="G76" s="199">
        <v>13000000</v>
      </c>
      <c r="H76" s="208" t="s">
        <v>441</v>
      </c>
      <c r="I76" s="190" t="s">
        <v>57</v>
      </c>
      <c r="J76" s="208" t="s">
        <v>58</v>
      </c>
      <c r="K76" s="208"/>
      <c r="L76" s="190" t="s">
        <v>16</v>
      </c>
      <c r="M76" s="190" t="s">
        <v>227</v>
      </c>
      <c r="N76" s="190" t="s">
        <v>59</v>
      </c>
      <c r="O76" s="190"/>
      <c r="P76" s="208"/>
      <c r="Q76" s="197" t="s">
        <v>442</v>
      </c>
      <c r="R76" s="197" t="s">
        <v>443</v>
      </c>
      <c r="S76" s="190" t="s">
        <v>203</v>
      </c>
      <c r="T76" s="190" t="s">
        <v>203</v>
      </c>
      <c r="U76" s="190" t="s">
        <v>444</v>
      </c>
      <c r="V76" s="190"/>
      <c r="W76" s="190"/>
      <c r="X76" s="200">
        <f>(G76-F76)/F76</f>
        <v>0</v>
      </c>
      <c r="Y76" s="15"/>
    </row>
    <row r="77" spans="1:25" ht="66">
      <c r="A77" s="15">
        <v>167</v>
      </c>
      <c r="D77" s="218">
        <v>46178.666666666664</v>
      </c>
      <c r="F77" s="202">
        <v>12767857.140000001</v>
      </c>
      <c r="G77" s="202">
        <v>12767857.140000001</v>
      </c>
      <c r="I77" s="203" t="s">
        <v>417</v>
      </c>
      <c r="J77" s="188" t="str">
        <f>HYPERLINK("https://tenderplus.kz/zakupki/45988743","Услуги по предоставлению вычислительных мощностей для физического размещения информации на сервере, постоянно находящемся в сети Интернет")</f>
        <v>Услуги по предоставлению вычислительных мощностей для физического размещения информации на сервере, постоянно находящемся в сети Интернет</v>
      </c>
      <c r="K77" s="188"/>
      <c r="L77" s="191" t="str">
        <f>HYPERLINK("https://eep.mitwork.kz/ru/publics/lot/549257","Mitwork")</f>
        <v>Mitwork</v>
      </c>
      <c r="N77" s="205" t="s">
        <v>213</v>
      </c>
      <c r="X77" s="200"/>
      <c r="Y77" s="15"/>
    </row>
    <row r="78" spans="1:25" ht="43.5">
      <c r="A78" s="197">
        <v>31</v>
      </c>
      <c r="B78" s="197"/>
      <c r="C78" s="190" t="s">
        <v>353</v>
      </c>
      <c r="D78" s="184">
        <v>46023</v>
      </c>
      <c r="E78" s="208" t="s">
        <v>445</v>
      </c>
      <c r="F78" s="207">
        <v>12767857</v>
      </c>
      <c r="G78" s="199"/>
      <c r="H78" s="208" t="s">
        <v>446</v>
      </c>
      <c r="I78" s="190" t="s">
        <v>417</v>
      </c>
      <c r="J78" s="208" t="s">
        <v>115</v>
      </c>
      <c r="K78" s="208"/>
      <c r="L78" s="190" t="s">
        <v>80</v>
      </c>
      <c r="M78" s="190" t="s">
        <v>227</v>
      </c>
      <c r="N78" s="190" t="s">
        <v>232</v>
      </c>
      <c r="O78" s="190"/>
      <c r="P78" s="208"/>
      <c r="Q78" s="197" t="s">
        <v>447</v>
      </c>
      <c r="R78" s="197" t="s">
        <v>448</v>
      </c>
      <c r="S78" s="190" t="s">
        <v>203</v>
      </c>
      <c r="T78" s="190" t="s">
        <v>203</v>
      </c>
      <c r="U78" s="190" t="s">
        <v>449</v>
      </c>
      <c r="V78" s="190"/>
      <c r="W78" s="190"/>
      <c r="X78" s="200">
        <v>0</v>
      </c>
      <c r="Y78" s="15"/>
    </row>
    <row r="79" spans="1:25" ht="33">
      <c r="A79" s="15">
        <v>168</v>
      </c>
      <c r="C79" s="15" t="s">
        <v>18</v>
      </c>
      <c r="D79" s="201">
        <v>46057.650231481479</v>
      </c>
      <c r="F79" s="202">
        <v>12763492</v>
      </c>
      <c r="G79" s="57">
        <v>12763492</v>
      </c>
      <c r="I79" s="203" t="s">
        <v>450</v>
      </c>
      <c r="J79" s="188" t="str">
        <f>HYPERLINK("https://tenderplus.kz/zakupki/43566469","Услуги по аренде виртуального выделенного сервера (VPS)")</f>
        <v>Услуги по аренде виртуального выделенного сервера (VPS)</v>
      </c>
      <c r="K79" s="188"/>
      <c r="L79" s="191" t="str">
        <f>HYPERLINK("https://zakup.sk.kz/#/ext(popup:item/3906515/lot)","Самрук-Казына")</f>
        <v>Самрук-Казына</v>
      </c>
      <c r="N79" s="205" t="s">
        <v>17</v>
      </c>
      <c r="X79" s="200">
        <f>(G79-F79)/F79</f>
        <v>0</v>
      </c>
      <c r="Y79" s="15"/>
    </row>
    <row r="80" spans="1:25" ht="45.75">
      <c r="A80" s="15">
        <v>97</v>
      </c>
      <c r="D80" s="184">
        <v>46344.375</v>
      </c>
      <c r="F80" s="202">
        <v>1200000</v>
      </c>
      <c r="G80" s="57">
        <v>1200000</v>
      </c>
      <c r="I80" s="203" t="s">
        <v>451</v>
      </c>
      <c r="J80" s="189" t="str">
        <f>HYPERLINK("https://tenderplus.kz/zakupki/48073251","Услуги по пользованию программными продуктами Услуги по пользованию программными продуктами, находящимся в удаленном доступе")</f>
        <v>Услуги по пользованию программными продуктами Услуги по пользованию программными продуктами, находящимся в удаленном доступе</v>
      </c>
      <c r="K80" s="189"/>
      <c r="L80" s="204" t="s">
        <v>16</v>
      </c>
      <c r="N80" s="205" t="s">
        <v>452</v>
      </c>
      <c r="X80" s="200">
        <f>(G80-F80)/F80</f>
        <v>0</v>
      </c>
      <c r="Y80" s="15"/>
    </row>
    <row r="81" spans="1:25" ht="66">
      <c r="A81" s="15">
        <v>169</v>
      </c>
      <c r="C81" s="15" t="s">
        <v>67</v>
      </c>
      <c r="D81" s="201">
        <v>45686.375</v>
      </c>
      <c r="F81" s="202">
        <v>12300600</v>
      </c>
      <c r="G81" s="57">
        <v>12300600</v>
      </c>
      <c r="I81" s="203" t="s">
        <v>453</v>
      </c>
      <c r="J81" s="188" t="str">
        <f>HYPERLINK("https://tenderplus.kz/zakupki/43383613","Услуги по предоставлению вычислительных мощностей для физического размещения информации на сервере, постоянно находящемся в сети Интернет")</f>
        <v>Услуги по предоставлению вычислительных мощностей для физического размещения информации на сервере, постоянно находящемся в сети Интернет</v>
      </c>
      <c r="K81" s="188"/>
      <c r="L81" s="191" t="str">
        <f>HYPERLINK("https://zakup.nationalbank.kz/ru/publics/lot/168562","ЭТП «Национальный Банк»")</f>
        <v>ЭТП «Национальный Банк»</v>
      </c>
      <c r="N81" s="205" t="s">
        <v>454</v>
      </c>
      <c r="X81" s="200">
        <f>(G81-F81)/F81</f>
        <v>0</v>
      </c>
      <c r="Y81" s="15"/>
    </row>
    <row r="82" spans="1:25" ht="30.75">
      <c r="A82" s="15">
        <v>105</v>
      </c>
      <c r="C82" s="15" t="s">
        <v>101</v>
      </c>
      <c r="D82" s="184">
        <v>46050.375</v>
      </c>
      <c r="F82" s="202">
        <v>11914924.300000001</v>
      </c>
      <c r="G82" s="57">
        <v>11800000</v>
      </c>
      <c r="I82" s="203" t="s">
        <v>73</v>
      </c>
      <c r="J82" s="189" t="str">
        <f>HYPERLINK("https://tenderplus.kz/zakupki/43313569","Услуги по аренде виртуального выделенного сервера (VPS)")</f>
        <v>Услуги по аренде виртуального выделенного сервера (VPS)</v>
      </c>
      <c r="K82" s="189"/>
      <c r="L82" s="204" t="s">
        <v>16</v>
      </c>
      <c r="N82" s="205" t="s">
        <v>75</v>
      </c>
      <c r="X82" s="200">
        <f>(G82-F82)/F82</f>
        <v>-9.6454074827819706E-3</v>
      </c>
      <c r="Y82" s="15"/>
    </row>
    <row r="83" spans="1:25" ht="72.75">
      <c r="A83" s="15">
        <v>170</v>
      </c>
      <c r="D83" s="201">
        <v>46100.333333333336</v>
      </c>
      <c r="F83" s="202">
        <v>10131673.82</v>
      </c>
      <c r="G83" s="57"/>
      <c r="I83" s="203" t="s">
        <v>455</v>
      </c>
      <c r="J83" s="188" t="str">
        <f>HYPERLINK("https://tenderplus.kz/zakupki/44658234","Аренда серверных мощностей  в Центре обработки данных")</f>
        <v>Аренда серверных мощностей  в Центре обработки данных</v>
      </c>
      <c r="K83" s="188"/>
      <c r="L83" s="191" t="str">
        <f>HYPERLINK("https://eurasiantech-tender.kz/Purchase/Index/49490","EurasianTech")</f>
        <v>EurasianTech</v>
      </c>
      <c r="N83" s="205" t="s">
        <v>456</v>
      </c>
      <c r="X83" s="200"/>
      <c r="Y83" s="15"/>
    </row>
    <row r="84" spans="1:25" ht="29.25">
      <c r="A84" s="15">
        <v>174</v>
      </c>
      <c r="D84" s="201">
        <v>46074.688437500001</v>
      </c>
      <c r="F84" s="202">
        <v>8886557.1400000006</v>
      </c>
      <c r="G84" s="209">
        <v>8371776</v>
      </c>
      <c r="I84" s="203" t="s">
        <v>457</v>
      </c>
      <c r="J84" s="188" t="str">
        <f>HYPERLINK("https://tenderplus.kz/zakupki/44153820","Услуги по аренде стоико-мест")</f>
        <v>Услуги по аренде стоико-мест</v>
      </c>
      <c r="K84" s="188"/>
      <c r="L84" s="191" t="s">
        <v>17</v>
      </c>
      <c r="N84" s="205" t="s">
        <v>458</v>
      </c>
      <c r="X84" s="200">
        <f>(G84-F84)/F84</f>
        <v>-5.7928074043757348E-2</v>
      </c>
      <c r="Y84" s="15"/>
    </row>
    <row r="85" spans="1:25" ht="87">
      <c r="A85" s="197">
        <v>7</v>
      </c>
      <c r="B85" s="197"/>
      <c r="C85" s="190" t="s">
        <v>39</v>
      </c>
      <c r="D85" s="184">
        <v>46023</v>
      </c>
      <c r="E85" s="208" t="s">
        <v>459</v>
      </c>
      <c r="F85" s="207">
        <v>8657143</v>
      </c>
      <c r="G85" s="199">
        <v>7800000</v>
      </c>
      <c r="H85" s="208" t="s">
        <v>460</v>
      </c>
      <c r="I85" s="190" t="s">
        <v>461</v>
      </c>
      <c r="J85" s="208" t="s">
        <v>264</v>
      </c>
      <c r="K85" s="208"/>
      <c r="L85" s="190" t="s">
        <v>16</v>
      </c>
      <c r="M85" s="190" t="s">
        <v>333</v>
      </c>
      <c r="N85" s="190" t="s">
        <v>431</v>
      </c>
      <c r="O85" s="190"/>
      <c r="P85" s="208"/>
      <c r="Q85" s="197" t="s">
        <v>462</v>
      </c>
      <c r="R85" s="197" t="s">
        <v>463</v>
      </c>
      <c r="S85" s="190" t="s">
        <v>203</v>
      </c>
      <c r="T85" s="190" t="s">
        <v>203</v>
      </c>
      <c r="U85" s="190" t="s">
        <v>464</v>
      </c>
      <c r="V85" s="190"/>
      <c r="W85" s="190"/>
      <c r="X85" s="200">
        <f>(G85-F85)/F85</f>
        <v>-9.9009915857922182E-2</v>
      </c>
      <c r="Y85" s="15"/>
    </row>
    <row r="86" spans="1:25" ht="91.5">
      <c r="A86" s="15">
        <v>108</v>
      </c>
      <c r="D86" s="184">
        <v>46037.754988425928</v>
      </c>
      <c r="F86" s="202">
        <v>8657142.8599999994</v>
      </c>
      <c r="G86" s="57">
        <v>7800000</v>
      </c>
      <c r="I86" s="203" t="s">
        <v>465</v>
      </c>
      <c r="J86" s="189" t="str">
        <f>HYPERLINK("https://tenderplus.kz/zakupki/43158326","Услуги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86" s="189"/>
      <c r="L86" s="204" t="s">
        <v>16</v>
      </c>
      <c r="N86" s="205" t="s">
        <v>466</v>
      </c>
      <c r="X86" s="200">
        <f>(G86-F86)/F86</f>
        <v>-9.9009901287455418E-2</v>
      </c>
      <c r="Y86" s="15"/>
    </row>
    <row r="87" spans="1:25" ht="57.75">
      <c r="A87" s="197">
        <v>23</v>
      </c>
      <c r="B87" s="197"/>
      <c r="C87" s="190" t="s">
        <v>39</v>
      </c>
      <c r="D87" s="184">
        <v>46037</v>
      </c>
      <c r="E87" s="208" t="s">
        <v>467</v>
      </c>
      <c r="F87" s="207">
        <v>8539286</v>
      </c>
      <c r="G87" s="199">
        <v>6346428.5700000003</v>
      </c>
      <c r="H87" s="208" t="s">
        <v>468</v>
      </c>
      <c r="I87" s="190" t="s">
        <v>461</v>
      </c>
      <c r="J87" s="208" t="s">
        <v>469</v>
      </c>
      <c r="K87" s="208"/>
      <c r="L87" s="190" t="s">
        <v>16</v>
      </c>
      <c r="M87" s="190" t="s">
        <v>258</v>
      </c>
      <c r="N87" s="190" t="s">
        <v>470</v>
      </c>
      <c r="O87" s="190"/>
      <c r="P87" s="208"/>
      <c r="Q87" s="197" t="s">
        <v>471</v>
      </c>
      <c r="R87" s="197" t="s">
        <v>472</v>
      </c>
      <c r="S87" s="190" t="s">
        <v>203</v>
      </c>
      <c r="T87" s="190" t="s">
        <v>203</v>
      </c>
      <c r="U87" s="190" t="s">
        <v>473</v>
      </c>
      <c r="V87" s="190"/>
      <c r="W87" s="190"/>
      <c r="X87" s="200">
        <f>(G87-F87)/F87</f>
        <v>-0.25679634456557604</v>
      </c>
      <c r="Y87" s="15"/>
    </row>
    <row r="88" spans="1:25" ht="91.5">
      <c r="A88" s="15">
        <v>109</v>
      </c>
      <c r="D88" s="184">
        <v>46035.720185185186</v>
      </c>
      <c r="F88" s="202">
        <v>8436000</v>
      </c>
      <c r="G88" s="57">
        <v>8030000</v>
      </c>
      <c r="I88" s="203" t="s">
        <v>474</v>
      </c>
      <c r="J88" s="189" t="str">
        <f>HYPERLINK("https://tenderplus.kz/zakupki/43092021","Услуги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88" s="189"/>
      <c r="L88" s="204" t="s">
        <v>16</v>
      </c>
      <c r="N88" s="205" t="s">
        <v>475</v>
      </c>
      <c r="X88" s="200">
        <f>(G88-F88)/F88</f>
        <v>-4.8127074442863918E-2</v>
      </c>
      <c r="Y88" s="15"/>
    </row>
    <row r="89" spans="1:25" ht="43.5">
      <c r="A89" s="15">
        <v>110</v>
      </c>
      <c r="D89" s="184">
        <v>46066.375</v>
      </c>
      <c r="F89" s="202">
        <v>8398392.8599999994</v>
      </c>
      <c r="G89" s="57">
        <v>8052456</v>
      </c>
      <c r="I89" s="203" t="s">
        <v>476</v>
      </c>
      <c r="J89" s="189" t="str">
        <f>HYPERLINK("https://tenderplus.kz/zakupki/43709491","Услуги облачного сервиса")</f>
        <v>Услуги облачного сервиса</v>
      </c>
      <c r="K89" s="189"/>
      <c r="L89" s="204" t="s">
        <v>16</v>
      </c>
      <c r="N89" s="205" t="s">
        <v>477</v>
      </c>
      <c r="X89" s="200">
        <f>(G89-F89)/F89</f>
        <v>-4.1190840410387689E-2</v>
      </c>
      <c r="Y89" s="15"/>
    </row>
    <row r="90" spans="1:25" ht="33">
      <c r="A90" s="15">
        <v>175</v>
      </c>
      <c r="D90" s="201">
        <v>45673.446956018517</v>
      </c>
      <c r="F90" s="202">
        <v>8140739.2800000003</v>
      </c>
      <c r="G90" s="57">
        <v>8140739.2800000003</v>
      </c>
      <c r="I90" s="203" t="s">
        <v>27</v>
      </c>
      <c r="J90" s="188" t="str">
        <f>HYPERLINK("https://tenderplus.kz/zakupki/43169726","Услуги по аренде виртуального выделенного сервера (VPS)")</f>
        <v>Услуги по аренде виртуального выделенного сервера (VPS)</v>
      </c>
      <c r="K90" s="188"/>
      <c r="L90" s="191" t="str">
        <f>HYPERLINK("https://zakup.sk.kz/#/ext(popup:item/3810242/lot)","Самрук-Казына")</f>
        <v>Самрук-Казына</v>
      </c>
      <c r="N90" s="205" t="s">
        <v>17</v>
      </c>
      <c r="X90" s="200">
        <f>(G90-F90)/F90</f>
        <v>0</v>
      </c>
      <c r="Y90" s="15"/>
    </row>
    <row r="91" spans="1:25" ht="72.75">
      <c r="A91" s="15">
        <v>176</v>
      </c>
      <c r="D91" s="201">
        <v>46063.375</v>
      </c>
      <c r="F91" s="202">
        <v>8099547.6200000001</v>
      </c>
      <c r="G91" s="57">
        <v>7936777.75</v>
      </c>
      <c r="I91" s="203" t="s">
        <v>338</v>
      </c>
      <c r="J91" s="188" t="str">
        <f>HYPERLINK("https://tenderplus.kz/zakupki/43573534","Услуги по аренде стоико-мест")</f>
        <v>Услуги по аренде стоико-мест</v>
      </c>
      <c r="K91" s="188"/>
      <c r="L91" s="204" t="s">
        <v>16</v>
      </c>
      <c r="N91" s="205" t="s">
        <v>478</v>
      </c>
      <c r="X91" s="200">
        <f>(G91-F91)/F91</f>
        <v>-2.0096168037592215E-2</v>
      </c>
      <c r="Y91" s="15"/>
    </row>
    <row r="92" spans="1:25" ht="30.75">
      <c r="A92" s="15">
        <v>115</v>
      </c>
      <c r="D92" s="184">
        <v>46064.446400462963</v>
      </c>
      <c r="F92" s="202">
        <v>8035714.2800000003</v>
      </c>
      <c r="G92" s="57">
        <v>8035714.2800000003</v>
      </c>
      <c r="I92" s="203" t="s">
        <v>479</v>
      </c>
      <c r="J92" s="189" t="str">
        <f>HYPERLINK("https://tenderplus.kz/zakupki/43733676","Услуги по аренде виртуального выделенного сервера (VPS)")</f>
        <v>Услуги по аренде виртуального выделенного сервера (VPS)</v>
      </c>
      <c r="K92" s="189"/>
      <c r="L92" s="204" t="s">
        <v>16</v>
      </c>
      <c r="N92" s="205" t="s">
        <v>480</v>
      </c>
      <c r="X92" s="200">
        <f>(G92-F92)/F92</f>
        <v>0</v>
      </c>
      <c r="Y92" s="15"/>
    </row>
    <row r="93" spans="1:25" ht="43.5">
      <c r="A93" s="15">
        <v>177</v>
      </c>
      <c r="D93" s="201">
        <v>46035.468055555553</v>
      </c>
      <c r="F93" s="202">
        <v>7589286</v>
      </c>
      <c r="G93" s="209">
        <v>7559432.1399999997</v>
      </c>
      <c r="I93" s="203" t="s">
        <v>481</v>
      </c>
      <c r="J93" s="188" t="str">
        <f>HYPERLINK("https://tenderplus.kz/zakupki/43080884","Услуги облачного сервиса Услуги облачного сервиса")</f>
        <v>Услуги облачного сервиса Услуги облачного сервиса</v>
      </c>
      <c r="K93" s="188"/>
      <c r="L93" s="204" t="s">
        <v>16</v>
      </c>
      <c r="N93" s="205" t="s">
        <v>482</v>
      </c>
      <c r="X93" s="200">
        <f>(G93-F93)/F93</f>
        <v>-3.9336849342613174E-3</v>
      </c>
      <c r="Y93" s="15"/>
    </row>
    <row r="94" spans="1:25" ht="91.5">
      <c r="A94" s="15">
        <v>116</v>
      </c>
      <c r="D94" s="217">
        <v>46184.604166666664</v>
      </c>
      <c r="F94" s="202">
        <v>7580357.1399999997</v>
      </c>
      <c r="G94" s="57">
        <v>6649000</v>
      </c>
      <c r="I94" s="203" t="s">
        <v>465</v>
      </c>
      <c r="J94" s="189" t="str">
        <f>HYPERLINK("https://tenderplus.kz/zakupki/46044759","Услуги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94" s="189"/>
      <c r="L94" s="204" t="s">
        <v>16</v>
      </c>
      <c r="N94" s="205" t="s">
        <v>483</v>
      </c>
      <c r="X94" s="200">
        <f>(G94-F94)/F94</f>
        <v>-0.12286454619471922</v>
      </c>
      <c r="Y94" s="15"/>
    </row>
    <row r="95" spans="1:25" ht="60.75">
      <c r="A95" s="15">
        <v>91</v>
      </c>
      <c r="D95" s="184">
        <v>46350.608773148146</v>
      </c>
      <c r="F95" s="202">
        <v>12758928.57</v>
      </c>
      <c r="G95" s="57">
        <v>12758928.57</v>
      </c>
      <c r="I95" s="203" t="s">
        <v>484</v>
      </c>
      <c r="J95" s="189" t="str">
        <f>HYPERLINK("https://tenderplus.kz/zakupki/48187487","Услуги по предоставлению вычислительных мощностей для физического размещения информации на сервере с применением технологии виртуализации (хостинг) без доступа к сети Интернет")</f>
        <v>Услуги по предоставлению вычислительных мощностей для физического размещения информации на сервере с применением технологии виртуализации (хостинг) без доступа к сети Интернет</v>
      </c>
      <c r="K95" s="189"/>
      <c r="L95" s="204" t="s">
        <v>16</v>
      </c>
      <c r="N95" s="205" t="s">
        <v>485</v>
      </c>
      <c r="X95" s="200">
        <f>(G95-F95)/F95</f>
        <v>0</v>
      </c>
      <c r="Y95" s="15"/>
    </row>
    <row r="96" spans="1:25" ht="43.5">
      <c r="A96" s="197">
        <v>14</v>
      </c>
      <c r="B96" s="197"/>
      <c r="C96" s="190" t="s">
        <v>67</v>
      </c>
      <c r="D96" s="201">
        <v>46054.375</v>
      </c>
      <c r="E96" s="208" t="s">
        <v>486</v>
      </c>
      <c r="F96" s="207">
        <v>6453000</v>
      </c>
      <c r="G96" s="199">
        <v>4785546</v>
      </c>
      <c r="H96" s="190" t="s">
        <v>487</v>
      </c>
      <c r="I96" s="190" t="s">
        <v>488</v>
      </c>
      <c r="J96" s="208" t="s">
        <v>31</v>
      </c>
      <c r="K96" s="208"/>
      <c r="L96" s="190" t="s">
        <v>16</v>
      </c>
      <c r="M96" s="190" t="s">
        <v>227</v>
      </c>
      <c r="N96" s="190" t="s">
        <v>489</v>
      </c>
      <c r="O96" s="190"/>
      <c r="P96" s="208"/>
      <c r="Q96" s="197" t="s">
        <v>490</v>
      </c>
      <c r="R96" s="197" t="s">
        <v>491</v>
      </c>
      <c r="S96" s="190" t="s">
        <v>203</v>
      </c>
      <c r="T96" s="190" t="s">
        <v>203</v>
      </c>
      <c r="U96" s="190" t="s">
        <v>492</v>
      </c>
      <c r="V96" s="190"/>
      <c r="W96" s="190"/>
      <c r="X96" s="200">
        <f>(G96-F96)/F96</f>
        <v>-0.25839981403998141</v>
      </c>
      <c r="Y96" s="15"/>
    </row>
    <row r="97" spans="1:25" ht="33">
      <c r="A97" s="15">
        <v>178</v>
      </c>
      <c r="D97" s="201">
        <v>46067.375</v>
      </c>
      <c r="F97" s="202">
        <v>6453000</v>
      </c>
      <c r="G97" s="57"/>
      <c r="I97" s="203" t="s">
        <v>488</v>
      </c>
      <c r="J97" s="188" t="str">
        <f>HYPERLINK("https://tenderplus.kz/zakupki/43721644","Услуги по аренде виртуального выделенного сервера (VPS)")</f>
        <v>Услуги по аренде виртуального выделенного сервера (VPS)</v>
      </c>
      <c r="K97" s="188"/>
      <c r="L97" s="204" t="s">
        <v>16</v>
      </c>
      <c r="N97" s="205" t="s">
        <v>213</v>
      </c>
      <c r="X97" s="200"/>
      <c r="Y97" s="15"/>
    </row>
    <row r="98" spans="1:25" ht="45.75">
      <c r="A98" s="15">
        <v>119</v>
      </c>
      <c r="D98" s="184">
        <v>46114.391053240739</v>
      </c>
      <c r="F98" s="202">
        <v>6000000</v>
      </c>
      <c r="G98" s="57">
        <v>6000000</v>
      </c>
      <c r="I98" s="203" t="s">
        <v>493</v>
      </c>
      <c r="J98" s="189" t="str">
        <f>HYPERLINK("https://tenderplus.kz/zakupki/44872607","Услуги по аренде виртуального выделенного сервера (VPS) Услуги по аренде виртуального выделенного сервера (VPS)")</f>
        <v>Услуги по аренде виртуального выделенного сервера (VPS) Услуги по аренде виртуального выделенного сервера (VPS)</v>
      </c>
      <c r="K98" s="189"/>
      <c r="L98" s="204" t="s">
        <v>16</v>
      </c>
      <c r="N98" s="205" t="s">
        <v>494</v>
      </c>
      <c r="X98" s="200">
        <f>(G98-F98)/F98</f>
        <v>0</v>
      </c>
      <c r="Y98" s="15"/>
    </row>
    <row r="99" spans="1:25" ht="45.75">
      <c r="A99" s="15">
        <v>120</v>
      </c>
      <c r="D99" s="184">
        <v>46039.728379629632</v>
      </c>
      <c r="F99" s="202">
        <v>5500000</v>
      </c>
      <c r="G99" s="209">
        <v>5500000</v>
      </c>
      <c r="I99" s="203" t="s">
        <v>495</v>
      </c>
      <c r="J99" s="189" t="str">
        <f>HYPERLINK("https://tenderplus.kz/zakupki/43215542","Услуги по аренде виртуального выделенного сервера (VPS) Услуги по аренде виртуального выделенного сервера (VPS)")</f>
        <v>Услуги по аренде виртуального выделенного сервера (VPS) Услуги по аренде виртуального выделенного сервера (VPS)</v>
      </c>
      <c r="K99" s="189"/>
      <c r="L99" s="204" t="s">
        <v>16</v>
      </c>
      <c r="N99" s="205" t="s">
        <v>494</v>
      </c>
      <c r="X99" s="200">
        <f>(G99-F99)/F99</f>
        <v>0</v>
      </c>
      <c r="Y99" s="15"/>
    </row>
    <row r="100" spans="1:25" ht="43.5">
      <c r="A100" s="197">
        <v>11</v>
      </c>
      <c r="B100" s="197"/>
      <c r="C100" s="190" t="s">
        <v>39</v>
      </c>
      <c r="D100" s="184">
        <v>46023</v>
      </c>
      <c r="E100" s="216" t="s">
        <v>216</v>
      </c>
      <c r="F100" s="207">
        <v>5477277</v>
      </c>
      <c r="G100" s="199">
        <v>5477276.6600000001</v>
      </c>
      <c r="H100" s="216"/>
      <c r="I100" s="190" t="s">
        <v>496</v>
      </c>
      <c r="J100" s="208" t="s">
        <v>231</v>
      </c>
      <c r="K100" s="208"/>
      <c r="L100" s="190" t="s">
        <v>16</v>
      </c>
      <c r="M100" s="190" t="s">
        <v>218</v>
      </c>
      <c r="N100" s="190" t="s">
        <v>497</v>
      </c>
      <c r="O100" s="190"/>
      <c r="P100" s="208"/>
      <c r="Q100" s="197" t="s">
        <v>498</v>
      </c>
      <c r="R100" s="197" t="s">
        <v>499</v>
      </c>
      <c r="S100" s="190" t="s">
        <v>203</v>
      </c>
      <c r="T100" s="190" t="s">
        <v>203</v>
      </c>
      <c r="U100" s="190" t="s">
        <v>500</v>
      </c>
      <c r="V100" s="190"/>
      <c r="W100" s="190"/>
      <c r="X100" s="200">
        <f>(G100-F100)/F100</f>
        <v>-6.207464034610417E-8</v>
      </c>
      <c r="Y100" s="15"/>
    </row>
    <row r="101" spans="1:25" ht="43.5">
      <c r="A101" s="15">
        <v>179</v>
      </c>
      <c r="D101" s="201">
        <v>46028.375</v>
      </c>
      <c r="F101" s="202">
        <v>5350476</v>
      </c>
      <c r="G101" s="57">
        <v>5346385.68</v>
      </c>
      <c r="I101" s="203" t="s">
        <v>501</v>
      </c>
      <c r="J101" s="188" t="str">
        <f>HYPERLINK("https://tenderplus.kz/zakupki/42971838","Аренда виртуальных серверов")</f>
        <v>Аренда виртуальных серверов</v>
      </c>
      <c r="K101" s="188"/>
      <c r="L101" s="191" t="str">
        <f>HYPERLINK("https://zakup.nationalbank.kz/ru/publics/lot/162419","ЭТП «Национальный Банк»")</f>
        <v>ЭТП «Национальный Банк»</v>
      </c>
      <c r="N101" s="205" t="s">
        <v>482</v>
      </c>
      <c r="X101" s="200">
        <f>(G101-F101)/F101</f>
        <v>-7.6447777730435538E-4</v>
      </c>
      <c r="Y101" s="15"/>
    </row>
    <row r="102" spans="1:25" ht="43.5">
      <c r="A102" s="15">
        <v>112</v>
      </c>
      <c r="D102" s="184">
        <v>46043.333333333336</v>
      </c>
      <c r="F102" s="202">
        <v>5000000</v>
      </c>
      <c r="G102" s="57">
        <v>1800000</v>
      </c>
      <c r="I102" s="203" t="s">
        <v>502</v>
      </c>
      <c r="J102" s="189" t="str">
        <f>HYPERLINK("https://tenderplus.kz/zakupki/43255424","Услуги облачного сервиса")</f>
        <v>Услуги облачного сервиса</v>
      </c>
      <c r="K102" s="189"/>
      <c r="L102" s="204" t="s">
        <v>16</v>
      </c>
      <c r="N102" s="205" t="s">
        <v>65</v>
      </c>
      <c r="X102" s="200">
        <f>(G102-F102)/F102</f>
        <v>-0.64</v>
      </c>
      <c r="Y102" s="15"/>
    </row>
    <row r="103" spans="1:25" ht="91.5">
      <c r="A103" s="15">
        <v>121</v>
      </c>
      <c r="D103" s="184">
        <v>46063.630567129629</v>
      </c>
      <c r="F103" s="202">
        <v>4734000</v>
      </c>
      <c r="G103" s="57">
        <v>4734000</v>
      </c>
      <c r="I103" s="203" t="s">
        <v>503</v>
      </c>
      <c r="J103" s="189" t="str">
        <f>HYPERLINK("https://tenderplus.kz/zakupki/43708683","Услуги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103" s="189"/>
      <c r="L103" s="204" t="s">
        <v>16</v>
      </c>
      <c r="N103" s="205" t="s">
        <v>504</v>
      </c>
      <c r="X103" s="200">
        <f>(G103-F103)/F103</f>
        <v>0</v>
      </c>
      <c r="Y103" s="15"/>
    </row>
    <row r="104" spans="1:25" ht="45.75">
      <c r="A104" s="15">
        <v>122</v>
      </c>
      <c r="D104" s="184">
        <v>46093.555555555555</v>
      </c>
      <c r="F104" s="202">
        <v>4464286</v>
      </c>
      <c r="G104" s="57">
        <v>3346428.57</v>
      </c>
      <c r="I104" s="203" t="s">
        <v>505</v>
      </c>
      <c r="J104" s="189" t="str">
        <f>HYPERLINK("https://tenderplus.kz/zakupki/44497980","Услуги по аренде виртуального выделенного сервера (VPS) Услуги по аренде виртуального выделенного сервера (VPS)")</f>
        <v>Услуги по аренде виртуального выделенного сервера (VPS) Услуги по аренде виртуального выделенного сервера (VPS)</v>
      </c>
      <c r="K104" s="189"/>
      <c r="L104" s="204" t="s">
        <v>16</v>
      </c>
      <c r="N104" s="205" t="s">
        <v>506</v>
      </c>
      <c r="X104" s="200">
        <f>(G104-F104)/F104</f>
        <v>-0.25040004829439694</v>
      </c>
      <c r="Y104" s="15"/>
    </row>
    <row r="105" spans="1:25" ht="43.5">
      <c r="A105" s="15">
        <v>123</v>
      </c>
      <c r="D105" s="184">
        <v>46032.66909722222</v>
      </c>
      <c r="F105" s="202">
        <v>4464285.71</v>
      </c>
      <c r="G105" s="57">
        <v>3590000</v>
      </c>
      <c r="I105" s="203" t="s">
        <v>507</v>
      </c>
      <c r="J105" s="189" t="str">
        <f>HYPERLINK("https://tenderplus.kz/zakupki/43045830","Услуги по аренде виртуального выделенного сервера (VPS)")</f>
        <v>Услуги по аренде виртуального выделенного сервера (VPS)</v>
      </c>
      <c r="K105" s="189"/>
      <c r="L105" s="204" t="s">
        <v>16</v>
      </c>
      <c r="N105" s="205" t="s">
        <v>508</v>
      </c>
      <c r="X105" s="200">
        <f>(G105-F105)/F105</f>
        <v>-0.19583999922800641</v>
      </c>
      <c r="Y105" s="15"/>
    </row>
    <row r="106" spans="1:25" ht="45.75">
      <c r="A106" s="15">
        <v>124</v>
      </c>
      <c r="D106" s="184">
        <v>46077.697002314817</v>
      </c>
      <c r="F106" s="202">
        <v>4448960</v>
      </c>
      <c r="G106" s="57">
        <v>4040800</v>
      </c>
      <c r="I106" s="203" t="s">
        <v>474</v>
      </c>
      <c r="J106" s="189" t="str">
        <f>HYPERLINK("https://tenderplus.kz/zakupki/44173738","Услуги по аренде виртуального выделенного сервера (VPS) Услуги по аренде виртуального выделенного сервера (VPS)")</f>
        <v>Услуги по аренде виртуального выделенного сервера (VPS) Услуги по аренде виртуального выделенного сервера (VPS)</v>
      </c>
      <c r="K106" s="189"/>
      <c r="L106" s="204" t="s">
        <v>16</v>
      </c>
      <c r="N106" s="205" t="s">
        <v>509</v>
      </c>
      <c r="X106" s="200">
        <f>(G106-F106)/F106</f>
        <v>-9.1742789326044738E-2</v>
      </c>
      <c r="Y106" s="15"/>
    </row>
    <row r="107" spans="1:25" ht="52.5" customHeight="1">
      <c r="A107" s="15">
        <v>113</v>
      </c>
      <c r="D107" s="184">
        <v>46070.375</v>
      </c>
      <c r="F107" s="202">
        <v>4185000</v>
      </c>
      <c r="G107" s="57">
        <v>2329888</v>
      </c>
      <c r="I107" s="203" t="s">
        <v>510</v>
      </c>
      <c r="J107" s="189" t="str">
        <f>HYPERLINK("https://tenderplus.kz/zakupki/43778733","Услуги облачного сервиса")</f>
        <v>Услуги облачного сервиса</v>
      </c>
      <c r="K107" s="189"/>
      <c r="L107" s="204" t="s">
        <v>16</v>
      </c>
      <c r="N107" s="205" t="s">
        <v>511</v>
      </c>
      <c r="X107" s="200">
        <f>(G107-F107)/F107</f>
        <v>-0.44327646356033451</v>
      </c>
      <c r="Y107" s="15"/>
    </row>
    <row r="108" spans="1:25" ht="66">
      <c r="A108" s="15">
        <v>180</v>
      </c>
      <c r="D108" s="201">
        <v>46028.683645833335</v>
      </c>
      <c r="F108" s="202">
        <v>3897260.01</v>
      </c>
      <c r="G108" s="57">
        <v>3897260.01</v>
      </c>
      <c r="I108" s="203" t="s">
        <v>512</v>
      </c>
      <c r="J108" s="188" t="str">
        <f>HYPERLINK("https://tenderplus.kz/zakupki/42992126","Услуги по предоставлению вычислительных мощностей для физического размещения информации на сервере, постоянно находящемся в сети Интернет")</f>
        <v>Услуги по предоставлению вычислительных мощностей для физического размещения информации на сервере, постоянно находящемся в сети Интернет</v>
      </c>
      <c r="K108" s="188"/>
      <c r="L108" s="191" t="str">
        <f>HYPERLINK("https://zakup.sk.kz/#/ext(popup:item/3841909/lot)","Самрук-Казына")</f>
        <v>Самрук-Казына</v>
      </c>
      <c r="N108" s="205" t="s">
        <v>17</v>
      </c>
      <c r="X108" s="200">
        <f>(G108-F108)/F108</f>
        <v>0</v>
      </c>
      <c r="Y108" s="15"/>
    </row>
    <row r="109" spans="1:25" ht="29.25">
      <c r="A109" s="15">
        <v>114</v>
      </c>
      <c r="D109" s="184">
        <v>46079.462395833332</v>
      </c>
      <c r="F109" s="202">
        <v>3800000</v>
      </c>
      <c r="G109" s="57">
        <v>3780000</v>
      </c>
      <c r="I109" s="203" t="s">
        <v>513</v>
      </c>
      <c r="J109" s="189" t="str">
        <f>HYPERLINK("https://tenderplus.kz/zakupki/44224994","Услуги облачного сервиса Услуги облачного сервиса")</f>
        <v>Услуги облачного сервиса Услуги облачного сервиса</v>
      </c>
      <c r="K109" s="189"/>
      <c r="L109" s="204" t="s">
        <v>16</v>
      </c>
      <c r="N109" s="205" t="s">
        <v>514</v>
      </c>
      <c r="X109" s="200">
        <f>(G109-F109)/F109</f>
        <v>-5.263157894736842E-3</v>
      </c>
      <c r="Y109" s="15"/>
    </row>
    <row r="110" spans="1:25" ht="91.5">
      <c r="A110" s="15">
        <v>125</v>
      </c>
      <c r="D110" s="184">
        <v>46060.42255787037</v>
      </c>
      <c r="F110" s="202">
        <v>3600000</v>
      </c>
      <c r="G110" s="209">
        <v>3300000</v>
      </c>
      <c r="I110" s="203" t="s">
        <v>515</v>
      </c>
      <c r="J110" s="189" t="str">
        <f>HYPERLINK("https://tenderplus.kz/zakupki/43654020","Услуги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110" s="189"/>
      <c r="L110" s="204" t="s">
        <v>16</v>
      </c>
      <c r="N110" s="205" t="s">
        <v>516</v>
      </c>
      <c r="X110" s="200">
        <f>(G110-F110)/F110</f>
        <v>-8.3333333333333329E-2</v>
      </c>
      <c r="Y110" s="15"/>
    </row>
    <row r="111" spans="1:25" ht="57.75">
      <c r="A111" s="15">
        <v>92</v>
      </c>
      <c r="D111" s="184">
        <v>46044.973310185182</v>
      </c>
      <c r="F111" s="202">
        <v>3390000</v>
      </c>
      <c r="G111" s="57">
        <v>3390000</v>
      </c>
      <c r="I111" s="203" t="s">
        <v>517</v>
      </c>
      <c r="J111" s="189" t="str">
        <f>HYPERLINK("https://tenderplus.kz/zakupki/43310672","Услуги облачного сервиса Услуги облачного сервиса")</f>
        <v>Услуги облачного сервиса Услуги облачного сервиса</v>
      </c>
      <c r="K111" s="189"/>
      <c r="L111" s="204" t="s">
        <v>16</v>
      </c>
      <c r="N111" s="205" t="s">
        <v>268</v>
      </c>
      <c r="X111" s="200">
        <f>(G111-F111)/F111</f>
        <v>0</v>
      </c>
      <c r="Y111" s="15"/>
    </row>
    <row r="112" spans="1:25" ht="43.5">
      <c r="A112" s="15">
        <v>127</v>
      </c>
      <c r="D112" s="184">
        <v>46039.667349537034</v>
      </c>
      <c r="F112" s="202">
        <v>3125000</v>
      </c>
      <c r="G112" s="57">
        <v>2500000</v>
      </c>
      <c r="I112" s="203" t="s">
        <v>518</v>
      </c>
      <c r="J112" s="189" t="str">
        <f>HYPERLINK("https://tenderplus.kz/zakupki/43209534","Услуги облачного сервиса")</f>
        <v>Услуги облачного сервиса</v>
      </c>
      <c r="K112" s="189"/>
      <c r="L112" s="204" t="s">
        <v>16</v>
      </c>
      <c r="N112" s="205" t="s">
        <v>65</v>
      </c>
      <c r="X112" s="200">
        <f>(G112-F112)/F112</f>
        <v>-0.2</v>
      </c>
      <c r="Y112" s="15"/>
    </row>
    <row r="113" spans="1:25" ht="66">
      <c r="A113" s="15">
        <v>182</v>
      </c>
      <c r="D113" s="218">
        <v>46148.769409722219</v>
      </c>
      <c r="F113" s="202">
        <v>2936230</v>
      </c>
      <c r="G113" s="57">
        <v>2936230</v>
      </c>
      <c r="I113" s="203" t="s">
        <v>519</v>
      </c>
      <c r="J113" s="188" t="str">
        <f>HYPERLINK("https://tenderplus.kz/zakupki/45529955","Услуги по предоставлению вычислительных мощностей для физического размещения информации на сервере, постоянно находящемся в сети Интернет")</f>
        <v>Услуги по предоставлению вычислительных мощностей для физического размещения информации на сервере, постоянно находящемся в сети Интернет</v>
      </c>
      <c r="K113" s="188"/>
      <c r="L113" s="191" t="str">
        <f>HYPERLINK("https://zakup.sk.kz/#/ext(popup:item/3984105/lot)","Самрук-Казына")</f>
        <v>Самрук-Казына</v>
      </c>
      <c r="N113" s="205" t="s">
        <v>17</v>
      </c>
      <c r="X113" s="200">
        <f>(G113-F113)/F113</f>
        <v>0</v>
      </c>
      <c r="Y113" s="15"/>
    </row>
    <row r="114" spans="1:25" ht="43.5">
      <c r="A114" s="15">
        <v>128</v>
      </c>
      <c r="D114" s="184">
        <v>46073.458425925928</v>
      </c>
      <c r="F114" s="202">
        <v>2900000</v>
      </c>
      <c r="G114" s="57">
        <v>2900000</v>
      </c>
      <c r="I114" s="203" t="s">
        <v>520</v>
      </c>
      <c r="J114" s="189" t="str">
        <f>HYPERLINK("https://tenderplus.kz/zakupki/44083088","Услуги облачного сервиса")</f>
        <v>Услуги облачного сервиса</v>
      </c>
      <c r="K114" s="189"/>
      <c r="L114" s="204" t="s">
        <v>16</v>
      </c>
      <c r="N114" s="205" t="s">
        <v>521</v>
      </c>
      <c r="X114" s="200">
        <f>(G114-F114)/F114</f>
        <v>0</v>
      </c>
      <c r="Y114" s="15"/>
    </row>
    <row r="115" spans="1:25" ht="45.75">
      <c r="A115" s="15">
        <v>129</v>
      </c>
      <c r="D115" s="217">
        <v>46161.375</v>
      </c>
      <c r="F115" s="202">
        <v>2800000</v>
      </c>
      <c r="G115" s="57">
        <v>2800000</v>
      </c>
      <c r="I115" s="203" t="s">
        <v>522</v>
      </c>
      <c r="J115" s="189" t="str">
        <f>HYPERLINK("https://tenderplus.kz/zakupki/45616640","Услуги по пользованию программными продуктами Услуги по пользованию программными продуктами, находящимся в удаленном доступе")</f>
        <v>Услуги по пользованию программными продуктами Услуги по пользованию программными продуктами, находящимся в удаленном доступе</v>
      </c>
      <c r="K115" s="189"/>
      <c r="L115" s="204" t="s">
        <v>16</v>
      </c>
      <c r="N115" s="205" t="s">
        <v>523</v>
      </c>
      <c r="X115" s="200">
        <f>(G115-F115)/F115</f>
        <v>0</v>
      </c>
      <c r="Y115" s="15"/>
    </row>
    <row r="116" spans="1:25" ht="43.5">
      <c r="A116" s="15">
        <v>183</v>
      </c>
      <c r="D116" s="201">
        <v>46085.375150462962</v>
      </c>
      <c r="F116" s="202">
        <v>2589286</v>
      </c>
      <c r="G116" s="209">
        <v>1969898.69</v>
      </c>
      <c r="I116" s="203" t="s">
        <v>524</v>
      </c>
      <c r="J116" s="188" t="str">
        <f>HYPERLINK("https://tenderplus.kz/zakupki/44333685","Услуги облачного сервиса")</f>
        <v>Услуги облачного сервиса</v>
      </c>
      <c r="K116" s="188"/>
      <c r="L116" s="204" t="s">
        <v>16</v>
      </c>
      <c r="N116" s="205" t="s">
        <v>525</v>
      </c>
      <c r="X116" s="200">
        <f>(G116-F116)/F116</f>
        <v>-0.23921162436285526</v>
      </c>
      <c r="Y116" s="15"/>
    </row>
    <row r="117" spans="1:25" ht="43.5">
      <c r="A117" s="197">
        <v>17</v>
      </c>
      <c r="B117" s="197"/>
      <c r="C117" s="190" t="s">
        <v>18</v>
      </c>
      <c r="D117" s="184">
        <v>46357</v>
      </c>
      <c r="E117" s="206" t="s">
        <v>216</v>
      </c>
      <c r="F117" s="198">
        <v>128052000</v>
      </c>
      <c r="G117" s="199">
        <v>128052000</v>
      </c>
      <c r="H117" s="197"/>
      <c r="I117" s="190" t="s">
        <v>526</v>
      </c>
      <c r="J117" s="208" t="s">
        <v>115</v>
      </c>
      <c r="K117" s="208"/>
      <c r="L117" s="190" t="s">
        <v>116</v>
      </c>
      <c r="M117" s="190" t="s">
        <v>237</v>
      </c>
      <c r="N117" s="190" t="s">
        <v>17</v>
      </c>
      <c r="O117" s="190"/>
      <c r="P117" s="208"/>
      <c r="Q117" s="197" t="s">
        <v>279</v>
      </c>
      <c r="R117" s="197" t="s">
        <v>229</v>
      </c>
      <c r="S117" s="190" t="s">
        <v>184</v>
      </c>
      <c r="T117" s="190" t="s">
        <v>203</v>
      </c>
      <c r="U117" s="190" t="s">
        <v>527</v>
      </c>
      <c r="V117" s="190"/>
      <c r="W117" s="190"/>
      <c r="X117" s="200">
        <f>(G117-F117)/F117</f>
        <v>0</v>
      </c>
      <c r="Y117" s="15" t="s">
        <v>528</v>
      </c>
    </row>
    <row r="118" spans="1:25" ht="29.25">
      <c r="A118" s="197">
        <v>43</v>
      </c>
      <c r="B118" s="197"/>
      <c r="C118" s="190" t="s">
        <v>18</v>
      </c>
      <c r="D118" s="184">
        <v>46357</v>
      </c>
      <c r="E118" s="197"/>
      <c r="F118" s="207">
        <v>80400000</v>
      </c>
      <c r="G118" s="199">
        <v>77184000</v>
      </c>
      <c r="H118" s="197"/>
      <c r="I118" s="190" t="s">
        <v>529</v>
      </c>
      <c r="J118" s="208" t="s">
        <v>530</v>
      </c>
      <c r="K118" s="208"/>
      <c r="L118" s="190" t="s">
        <v>116</v>
      </c>
      <c r="M118" s="190" t="s">
        <v>237</v>
      </c>
      <c r="N118" s="190" t="s">
        <v>531</v>
      </c>
      <c r="O118" s="190"/>
      <c r="P118" s="208"/>
      <c r="Q118" s="197" t="s">
        <v>532</v>
      </c>
      <c r="R118" s="197" t="s">
        <v>533</v>
      </c>
      <c r="S118" s="190" t="s">
        <v>203</v>
      </c>
      <c r="T118" s="190" t="s">
        <v>203</v>
      </c>
      <c r="U118" s="190" t="s">
        <v>534</v>
      </c>
      <c r="V118" s="190"/>
      <c r="W118" s="190"/>
      <c r="X118" s="200">
        <f>(G118-F118)/F118</f>
        <v>-0.04</v>
      </c>
      <c r="Y118" s="15"/>
    </row>
    <row r="119" spans="1:25" ht="43.5">
      <c r="A119" s="197">
        <v>49</v>
      </c>
      <c r="B119" s="197"/>
      <c r="C119" s="190" t="s">
        <v>18</v>
      </c>
      <c r="D119" s="184">
        <v>46371</v>
      </c>
      <c r="E119" s="197"/>
      <c r="F119" s="198">
        <v>137463159</v>
      </c>
      <c r="G119" s="199">
        <v>137463158.5</v>
      </c>
      <c r="H119" s="197"/>
      <c r="I119" s="190" t="s">
        <v>535</v>
      </c>
      <c r="J119" s="208" t="s">
        <v>115</v>
      </c>
      <c r="K119" s="208"/>
      <c r="L119" s="190" t="s">
        <v>116</v>
      </c>
      <c r="M119" s="190" t="s">
        <v>237</v>
      </c>
      <c r="N119" s="190" t="s">
        <v>17</v>
      </c>
      <c r="O119" s="190"/>
      <c r="P119" s="208"/>
      <c r="Q119" s="197" t="s">
        <v>536</v>
      </c>
      <c r="R119" s="197" t="s">
        <v>537</v>
      </c>
      <c r="S119" s="190" t="s">
        <v>184</v>
      </c>
      <c r="T119" s="190" t="s">
        <v>203</v>
      </c>
      <c r="U119" s="190" t="s">
        <v>207</v>
      </c>
      <c r="V119" s="190"/>
      <c r="W119" s="190"/>
      <c r="X119" s="200">
        <f>(G119-F119)/F119</f>
        <v>-3.6373382049222367E-9</v>
      </c>
      <c r="Y119" s="15"/>
    </row>
    <row r="120" spans="1:25" ht="57.75">
      <c r="A120" s="15">
        <v>68</v>
      </c>
      <c r="D120" s="184">
        <v>46112.743993055556</v>
      </c>
      <c r="F120" s="202">
        <v>1822584</v>
      </c>
      <c r="G120" s="57">
        <v>1822584</v>
      </c>
      <c r="I120" s="203" t="s">
        <v>538</v>
      </c>
      <c r="J120" s="189" t="str">
        <f>HYPERLINK("https://tenderplus.kz/zakupki/44837658","Услуги по аренде виртуального выделенного сервера (VPS)")</f>
        <v>Услуги по аренде виртуального выделенного сервера (VPS)</v>
      </c>
      <c r="K120" s="189"/>
      <c r="L120" s="204" t="s">
        <v>16</v>
      </c>
      <c r="N120" s="205" t="s">
        <v>539</v>
      </c>
      <c r="X120" s="200">
        <f>(G120-F120)/F120</f>
        <v>0</v>
      </c>
      <c r="Y120" s="15"/>
    </row>
    <row r="121" spans="1:25" ht="91.5">
      <c r="A121" s="15">
        <v>69</v>
      </c>
      <c r="D121" s="184">
        <v>46030.375</v>
      </c>
      <c r="F121" s="202">
        <v>1811700</v>
      </c>
      <c r="G121" s="57">
        <v>1485540</v>
      </c>
      <c r="I121" s="203" t="s">
        <v>540</v>
      </c>
      <c r="J121" s="189" t="str">
        <f>HYPERLINK("https://tenderplus.kz/zakupki/42919019","Услуги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121" s="189"/>
      <c r="L121" s="204" t="s">
        <v>16</v>
      </c>
      <c r="N121" s="205" t="s">
        <v>541</v>
      </c>
      <c r="X121" s="200">
        <f>(G121-F121)/F121</f>
        <v>-0.18002980625931445</v>
      </c>
      <c r="Y121" s="15"/>
    </row>
    <row r="122" spans="1:25" ht="57.75">
      <c r="A122" s="15">
        <v>70</v>
      </c>
      <c r="D122" s="184">
        <v>46043.784722222219</v>
      </c>
      <c r="F122" s="202">
        <v>1800000</v>
      </c>
      <c r="G122" s="57">
        <v>1260000</v>
      </c>
      <c r="I122" s="203" t="s">
        <v>542</v>
      </c>
      <c r="J122" s="189" t="str">
        <f>HYPERLINK("https://tenderplus.kz/zakupki/43279029","Услуги по аренде виртуального выделенного сервера (VPS)")</f>
        <v>Услуги по аренде виртуального выделенного сервера (VPS)</v>
      </c>
      <c r="K122" s="189"/>
      <c r="L122" s="204" t="s">
        <v>16</v>
      </c>
      <c r="N122" s="205" t="s">
        <v>543</v>
      </c>
      <c r="X122" s="200">
        <f>(G122-F122)/F122</f>
        <v>-0.3</v>
      </c>
      <c r="Y122" s="15"/>
    </row>
    <row r="123" spans="1:25" ht="57.75">
      <c r="A123" s="15">
        <v>71</v>
      </c>
      <c r="D123" s="184">
        <v>46141.340358796297</v>
      </c>
      <c r="F123" s="202">
        <v>1766679</v>
      </c>
      <c r="G123" s="57">
        <v>1766679</v>
      </c>
      <c r="I123" s="203" t="s">
        <v>544</v>
      </c>
      <c r="J123" s="189" t="str">
        <f>HYPERLINK("https://tenderplus.kz/zakupki/45405414","Услуги по аренде виртуального выделенного сервера (VPS)")</f>
        <v>Услуги по аренде виртуального выделенного сервера (VPS)</v>
      </c>
      <c r="K123" s="189"/>
      <c r="L123" s="204" t="s">
        <v>16</v>
      </c>
      <c r="N123" s="205" t="s">
        <v>268</v>
      </c>
      <c r="X123" s="200">
        <f>(G123-F123)/F123</f>
        <v>0</v>
      </c>
      <c r="Y123" s="15"/>
    </row>
    <row r="124" spans="1:25" ht="45.75">
      <c r="A124" s="15">
        <v>72</v>
      </c>
      <c r="D124" s="184">
        <v>46038.516064814816</v>
      </c>
      <c r="F124" s="202">
        <v>1731250</v>
      </c>
      <c r="G124" s="57">
        <v>1728000</v>
      </c>
      <c r="I124" s="203" t="s">
        <v>545</v>
      </c>
      <c r="J124" s="189" t="str">
        <f>HYPERLINK("https://tenderplus.kz/zakupki/43173498","Услуги по аренде виртуального выделенного сервера (VPS) Услуги по аренде виртуального выделенного сервера (VPS)")</f>
        <v>Услуги по аренде виртуального выделенного сервера (VPS) Услуги по аренде виртуального выделенного сервера (VPS)</v>
      </c>
      <c r="K124" s="189"/>
      <c r="L124" s="204" t="s">
        <v>16</v>
      </c>
      <c r="N124" s="205" t="s">
        <v>546</v>
      </c>
      <c r="X124" s="200">
        <f>(G124-F124)/F124</f>
        <v>-1.8772563176895306E-3</v>
      </c>
      <c r="Y124" s="15"/>
    </row>
    <row r="125" spans="1:25" ht="29.25">
      <c r="A125" s="15">
        <v>99</v>
      </c>
      <c r="D125" s="184">
        <v>46050.701678240737</v>
      </c>
      <c r="F125" s="202">
        <v>1564640</v>
      </c>
      <c r="G125" s="57">
        <v>999999</v>
      </c>
      <c r="I125" s="203" t="s">
        <v>547</v>
      </c>
      <c r="J125" s="189" t="str">
        <f>HYPERLINK("https://tenderplus.kz/zakupki/43377424","Услуги облачного сервиса")</f>
        <v>Услуги облачного сервиса</v>
      </c>
      <c r="K125" s="189"/>
      <c r="L125" s="204" t="s">
        <v>16</v>
      </c>
      <c r="N125" s="205" t="s">
        <v>548</v>
      </c>
      <c r="X125" s="200">
        <f>(G125-F125)/F125</f>
        <v>-0.36087598425196848</v>
      </c>
      <c r="Y125" s="15"/>
    </row>
    <row r="126" spans="1:25" ht="91.5">
      <c r="A126" s="15">
        <v>73</v>
      </c>
      <c r="D126" s="184">
        <v>46030.375</v>
      </c>
      <c r="F126" s="202">
        <v>1485540</v>
      </c>
      <c r="G126" s="57">
        <v>1485540</v>
      </c>
      <c r="I126" s="203" t="s">
        <v>540</v>
      </c>
      <c r="J126" s="189" t="str">
        <f>HYPERLINK("https://tenderplus.kz/zakupki/42919018","Услуги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126" s="189"/>
      <c r="L126" s="204" t="s">
        <v>16</v>
      </c>
      <c r="N126" s="205" t="s">
        <v>549</v>
      </c>
      <c r="X126" s="200">
        <f>(G126-F126)/F126</f>
        <v>0</v>
      </c>
      <c r="Y126" s="15"/>
    </row>
    <row r="127" spans="1:25" ht="29.25">
      <c r="A127" s="15">
        <v>93</v>
      </c>
      <c r="D127" s="184">
        <v>46049.863946759258</v>
      </c>
      <c r="F127" s="202">
        <v>1470500</v>
      </c>
      <c r="G127" s="57">
        <v>1470500</v>
      </c>
      <c r="I127" s="203" t="s">
        <v>550</v>
      </c>
      <c r="J127" s="189" t="str">
        <f>HYPERLINK("https://tenderplus.kz/zakupki/43381897","Услуги облачного сервиса")</f>
        <v>Услуги облачного сервиса</v>
      </c>
      <c r="K127" s="189"/>
      <c r="L127" s="204" t="s">
        <v>16</v>
      </c>
      <c r="N127" s="205" t="s">
        <v>551</v>
      </c>
      <c r="X127" s="200">
        <f>(G127-F127)/F127</f>
        <v>0</v>
      </c>
      <c r="Y127" s="15"/>
    </row>
    <row r="128" spans="1:25" ht="91.5">
      <c r="A128" s="15">
        <v>117</v>
      </c>
      <c r="D128" s="184">
        <v>46380.789652777778</v>
      </c>
      <c r="F128" s="202">
        <v>6900000</v>
      </c>
      <c r="G128" s="57">
        <v>6890000</v>
      </c>
      <c r="I128" s="203" t="s">
        <v>552</v>
      </c>
      <c r="J128" s="189" t="str">
        <f>HYPERLINK("https://tenderplus.kz/zakupki/42861383","Услуги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128" s="189"/>
      <c r="L128" s="204" t="s">
        <v>16</v>
      </c>
      <c r="N128" s="205" t="s">
        <v>553</v>
      </c>
      <c r="X128" s="200">
        <f>(G128-F128)/F128</f>
        <v>-1.4492753623188406E-3</v>
      </c>
      <c r="Y128" s="15"/>
    </row>
    <row r="129" spans="1:25" ht="57.75">
      <c r="A129" s="15">
        <v>53</v>
      </c>
      <c r="D129" s="184">
        <v>46023.375</v>
      </c>
      <c r="F129" s="202">
        <v>1419642.9</v>
      </c>
      <c r="G129" s="57">
        <v>1419642.9</v>
      </c>
      <c r="I129" s="203" t="s">
        <v>554</v>
      </c>
      <c r="J129" s="189" t="str">
        <f>HYPERLINK("https://tenderplus.kz/zakupki/43094374","Услуги по аренде виртуального выделенного сервера (VPS)")</f>
        <v>Услуги по аренде виртуального выделенного сервера (VPS)</v>
      </c>
      <c r="K129" s="189"/>
      <c r="L129" s="204" t="s">
        <v>16</v>
      </c>
      <c r="N129" s="205" t="s">
        <v>555</v>
      </c>
      <c r="X129" s="200">
        <f>(G129-F129)/F129</f>
        <v>0</v>
      </c>
      <c r="Y129" s="15"/>
    </row>
    <row r="130" spans="1:25" ht="57.75">
      <c r="A130" s="15">
        <v>54</v>
      </c>
      <c r="D130" s="184">
        <v>46023.375</v>
      </c>
      <c r="F130" s="202">
        <v>1419642.9</v>
      </c>
      <c r="G130" s="57">
        <v>1419642.9</v>
      </c>
      <c r="I130" s="203" t="s">
        <v>554</v>
      </c>
      <c r="J130" s="189" t="str">
        <f>HYPERLINK("https://tenderplus.kz/zakupki/43094375","Услуги по аренде виртуального выделенного сервера (VPS)")</f>
        <v>Услуги по аренде виртуального выделенного сервера (VPS)</v>
      </c>
      <c r="K130" s="189"/>
      <c r="L130" s="204" t="s">
        <v>16</v>
      </c>
      <c r="N130" s="205" t="s">
        <v>556</v>
      </c>
      <c r="X130" s="200">
        <f>(G130-F130)/F130</f>
        <v>0</v>
      </c>
      <c r="Y130" s="15"/>
    </row>
    <row r="131" spans="1:25" ht="29.25">
      <c r="A131" s="15">
        <v>94</v>
      </c>
      <c r="D131" s="184">
        <v>46058.732800925929</v>
      </c>
      <c r="F131" s="202">
        <v>1393333.32</v>
      </c>
      <c r="G131" s="57">
        <v>1200000</v>
      </c>
      <c r="I131" s="203" t="s">
        <v>557</v>
      </c>
      <c r="J131" s="189" t="str">
        <f>HYPERLINK("https://tenderplus.kz/zakupki/43603128","Услуги облачного сервиса Услуги облачного сервиса")</f>
        <v>Услуги облачного сервиса Услуги облачного сервиса</v>
      </c>
      <c r="K131" s="189"/>
      <c r="L131" s="204" t="s">
        <v>16</v>
      </c>
      <c r="N131" s="205" t="s">
        <v>380</v>
      </c>
      <c r="X131" s="200">
        <f>(G131-F131)/F131</f>
        <v>-0.13875597261967443</v>
      </c>
      <c r="Y131" s="15"/>
    </row>
    <row r="132" spans="1:25" ht="91.5">
      <c r="A132" s="15">
        <v>75</v>
      </c>
      <c r="D132" s="184">
        <v>46182.375</v>
      </c>
      <c r="F132" s="202">
        <v>1313280</v>
      </c>
      <c r="G132" s="57">
        <v>994000</v>
      </c>
      <c r="I132" s="203" t="s">
        <v>474</v>
      </c>
      <c r="J132" s="189" t="str">
        <f>HYPERLINK("https://tenderplus.kz/zakupki/45986466","Услуги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132" s="189"/>
      <c r="L132" s="204" t="s">
        <v>16</v>
      </c>
      <c r="N132" s="205" t="s">
        <v>558</v>
      </c>
      <c r="X132" s="200">
        <f>(G132-F132)/F132</f>
        <v>-0.24311647173489279</v>
      </c>
      <c r="Y132" s="15"/>
    </row>
    <row r="133" spans="1:25" ht="30.75">
      <c r="A133" s="15">
        <v>76</v>
      </c>
      <c r="D133" s="184">
        <v>46382.682638888888</v>
      </c>
      <c r="F133" s="202">
        <v>1300000</v>
      </c>
      <c r="G133" s="57">
        <v>1094100.48</v>
      </c>
      <c r="I133" s="203" t="s">
        <v>559</v>
      </c>
      <c r="J133" s="189" t="str">
        <f>HYPERLINK("https://tenderplus.kz/zakupki/42929642","Услуги по аренде виртуального выделенного сервера (VPS)")</f>
        <v>Услуги по аренде виртуального выделенного сервера (VPS)</v>
      </c>
      <c r="K133" s="189"/>
      <c r="L133" s="192" t="str">
        <f>HYPERLINK("https://zakup.sk.kz/#/ext(popup:item/3880764/lot)","Самрук-Казына")</f>
        <v>Самрук-Казына</v>
      </c>
      <c r="N133" s="205" t="s">
        <v>75</v>
      </c>
      <c r="X133" s="200">
        <f>(G133-F133)/F133</f>
        <v>-0.15838424615384616</v>
      </c>
      <c r="Y133" s="15"/>
    </row>
    <row r="134" spans="1:25" ht="91.5">
      <c r="A134" s="15">
        <v>78</v>
      </c>
      <c r="D134" s="184">
        <v>46386.339131944442</v>
      </c>
      <c r="F134" s="202">
        <v>1080000</v>
      </c>
      <c r="G134" s="57">
        <v>1080000</v>
      </c>
      <c r="I134" s="203" t="s">
        <v>560</v>
      </c>
      <c r="J134" s="189" t="str">
        <f>HYPERLINK("https://tenderplus.kz/zakupki/42947545","Услуги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134" s="189"/>
      <c r="L134" s="204" t="s">
        <v>16</v>
      </c>
      <c r="N134" s="205" t="s">
        <v>561</v>
      </c>
      <c r="X134" s="200">
        <f>(G134-F134)/F134</f>
        <v>0</v>
      </c>
      <c r="Y134" s="15"/>
    </row>
    <row r="135" spans="1:25" ht="91.5">
      <c r="A135" s="15">
        <v>77</v>
      </c>
      <c r="D135" s="184">
        <v>46113.5</v>
      </c>
      <c r="F135" s="202">
        <v>1232400</v>
      </c>
      <c r="G135" s="57">
        <v>949652</v>
      </c>
      <c r="I135" s="203" t="s">
        <v>562</v>
      </c>
      <c r="J135" s="189" t="str">
        <f>HYPERLINK("https://tenderplus.kz/zakupki/44849279","Услуги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135" s="189"/>
      <c r="L135" s="204" t="s">
        <v>16</v>
      </c>
      <c r="N135" s="205" t="s">
        <v>558</v>
      </c>
      <c r="X135" s="200">
        <f>(G135-F135)/F135</f>
        <v>-0.22942875689711134</v>
      </c>
      <c r="Y135" s="15"/>
    </row>
    <row r="136" spans="1:25">
      <c r="A136" s="15">
        <v>96</v>
      </c>
      <c r="D136" s="184">
        <v>46227.642199074071</v>
      </c>
      <c r="F136" s="202">
        <v>1200000</v>
      </c>
      <c r="G136" s="57">
        <v>1080000</v>
      </c>
      <c r="I136" s="203" t="s">
        <v>563</v>
      </c>
      <c r="J136" s="189" t="str">
        <f>HYPERLINK("https://tenderplus.kz/zakupki/46511975","Услуги облачного сервиса")</f>
        <v>Услуги облачного сервиса</v>
      </c>
      <c r="K136" s="189"/>
      <c r="L136" s="204" t="s">
        <v>16</v>
      </c>
      <c r="N136" s="205" t="s">
        <v>564</v>
      </c>
      <c r="X136" s="200">
        <f>(G136-F136)/F136</f>
        <v>-0.1</v>
      </c>
      <c r="Y136" s="15"/>
    </row>
    <row r="137" spans="1:25" ht="91.5">
      <c r="A137" s="15">
        <v>74</v>
      </c>
      <c r="D137" s="184">
        <v>46386.375</v>
      </c>
      <c r="F137" s="202">
        <v>1440000</v>
      </c>
      <c r="G137" s="57">
        <v>1008000</v>
      </c>
      <c r="I137" s="203" t="s">
        <v>565</v>
      </c>
      <c r="J137" s="189" t="str">
        <f>HYPERLINK("https://tenderplus.kz/zakupki/42945902","Услуги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f>
        <v>Услуги по предоставлению вычислительных мощностей для физического размещения информации на сервере, постоянно находящемся в сети Интернет Предоставление вычислительных мощностей для физического размещения информации на сервере, постоянно находящемся ...</v>
      </c>
      <c r="K137" s="189"/>
      <c r="L137" s="204" t="s">
        <v>16</v>
      </c>
      <c r="N137" s="205" t="s">
        <v>561</v>
      </c>
      <c r="X137" s="200">
        <f>(G137-F137)/F137</f>
        <v>-0.3</v>
      </c>
      <c r="Y137" s="15"/>
    </row>
    <row r="138" spans="1:25" ht="43.5">
      <c r="A138" s="15">
        <v>98</v>
      </c>
      <c r="D138" s="184">
        <v>46070.38480324074</v>
      </c>
      <c r="F138" s="202">
        <v>1140000</v>
      </c>
      <c r="G138" s="57">
        <v>809400</v>
      </c>
      <c r="I138" s="203" t="s">
        <v>566</v>
      </c>
      <c r="J138" s="189" t="str">
        <f>HYPERLINK("https://tenderplus.kz/zakupki/44019195","Услуги облачного сервиса")</f>
        <v>Услуги облачного сервиса</v>
      </c>
      <c r="K138" s="189"/>
      <c r="L138" s="204" t="s">
        <v>16</v>
      </c>
      <c r="N138" s="205" t="s">
        <v>548</v>
      </c>
      <c r="X138" s="200">
        <f>(G138-F138)/F138</f>
        <v>-0.28999999999999998</v>
      </c>
      <c r="Y138" s="15"/>
    </row>
    <row r="139" spans="1:25" ht="29.25">
      <c r="A139" s="197">
        <v>33</v>
      </c>
      <c r="B139" s="197"/>
      <c r="C139" s="190" t="s">
        <v>67</v>
      </c>
      <c r="D139" s="201" t="s">
        <v>567</v>
      </c>
      <c r="E139" s="211" t="s">
        <v>216</v>
      </c>
      <c r="F139" s="207">
        <v>25884821</v>
      </c>
      <c r="G139" s="199">
        <v>25444642.859999999</v>
      </c>
      <c r="H139" s="197"/>
      <c r="I139" s="190" t="s">
        <v>94</v>
      </c>
      <c r="J139" s="208" t="s">
        <v>31</v>
      </c>
      <c r="K139" s="208"/>
      <c r="L139" s="190" t="s">
        <v>16</v>
      </c>
      <c r="M139" s="190" t="s">
        <v>227</v>
      </c>
      <c r="N139" s="190" t="s">
        <v>95</v>
      </c>
      <c r="O139" s="190"/>
      <c r="P139" s="208"/>
      <c r="Q139" s="197" t="s">
        <v>568</v>
      </c>
      <c r="R139" s="197" t="s">
        <v>569</v>
      </c>
      <c r="S139" s="190" t="s">
        <v>203</v>
      </c>
      <c r="T139" s="190" t="s">
        <v>203</v>
      </c>
      <c r="U139" s="190" t="s">
        <v>385</v>
      </c>
      <c r="V139" s="190"/>
      <c r="W139" s="190"/>
      <c r="X139" s="200">
        <f>(G139-F139)/F139</f>
        <v>-1.7005261114226001E-2</v>
      </c>
      <c r="Y139" s="15"/>
    </row>
    <row r="140" spans="1:25" ht="29.25">
      <c r="A140" s="15">
        <v>100</v>
      </c>
      <c r="D140" s="184">
        <v>46043.375</v>
      </c>
      <c r="F140" s="202">
        <v>1059822</v>
      </c>
      <c r="G140" s="57">
        <v>920000</v>
      </c>
      <c r="I140" s="203" t="s">
        <v>570</v>
      </c>
      <c r="J140" s="189" t="str">
        <f>HYPERLINK("https://tenderplus.kz/zakupki/43228660","Услуги облачного сервиса")</f>
        <v>Услуги облачного сервиса</v>
      </c>
      <c r="K140" s="189"/>
      <c r="L140" s="204" t="s">
        <v>16</v>
      </c>
      <c r="N140" s="205" t="s">
        <v>571</v>
      </c>
      <c r="X140" s="200">
        <f>(G140-F140)/F140</f>
        <v>-0.13192970140268837</v>
      </c>
      <c r="Y140" s="15"/>
    </row>
    <row r="141" spans="1:25" ht="29.25">
      <c r="A141" s="15">
        <v>101</v>
      </c>
      <c r="D141" s="184">
        <v>46052.492094907408</v>
      </c>
      <c r="F141" s="202">
        <v>1059821.43</v>
      </c>
      <c r="G141" s="57">
        <v>699999</v>
      </c>
      <c r="I141" s="203" t="s">
        <v>572</v>
      </c>
      <c r="J141" s="189" t="str">
        <f>HYPERLINK("https://tenderplus.kz/zakupki/43462907","Услуги облачного сервиса Услуги облачного сервиса")</f>
        <v>Услуги облачного сервиса Услуги облачного сервиса</v>
      </c>
      <c r="K141" s="189"/>
      <c r="L141" s="204" t="s">
        <v>16</v>
      </c>
      <c r="N141" s="205" t="s">
        <v>548</v>
      </c>
      <c r="X141" s="200">
        <f>(G141-F141)/F141</f>
        <v>-0.33951231765524875</v>
      </c>
      <c r="Y141" s="15"/>
    </row>
    <row r="142" spans="1:25" ht="29.25">
      <c r="A142" s="15">
        <v>102</v>
      </c>
      <c r="D142" s="184">
        <v>46109.277291666665</v>
      </c>
      <c r="F142" s="202">
        <v>1000000</v>
      </c>
      <c r="G142" s="57">
        <v>1000000</v>
      </c>
      <c r="I142" s="203" t="s">
        <v>573</v>
      </c>
      <c r="J142" s="189" t="str">
        <f>HYPERLINK("https://tenderplus.kz/zakupki/44780891","Услуги облачного сервиса Услуги облачного сервиса")</f>
        <v>Услуги облачного сервиса Услуги облачного сервиса</v>
      </c>
      <c r="K142" s="189"/>
      <c r="L142" s="204" t="s">
        <v>16</v>
      </c>
      <c r="N142" s="205" t="s">
        <v>571</v>
      </c>
      <c r="X142" s="200">
        <f>(G142-F142)/F142</f>
        <v>0</v>
      </c>
      <c r="Y142" s="15"/>
    </row>
    <row r="143" spans="1:25" ht="72.75">
      <c r="A143" s="197">
        <v>13</v>
      </c>
      <c r="B143" s="197"/>
      <c r="C143" s="190" t="s">
        <v>18</v>
      </c>
      <c r="D143" s="184">
        <v>46023</v>
      </c>
      <c r="E143" s="206" t="s">
        <v>216</v>
      </c>
      <c r="F143" s="198"/>
      <c r="G143" s="199"/>
      <c r="H143" s="190"/>
      <c r="I143" s="190" t="s">
        <v>574</v>
      </c>
      <c r="J143" s="190" t="s">
        <v>362</v>
      </c>
      <c r="K143" s="190"/>
      <c r="L143" s="190" t="s">
        <v>116</v>
      </c>
      <c r="M143" s="190" t="s">
        <v>206</v>
      </c>
      <c r="N143" s="190"/>
      <c r="O143" s="190"/>
      <c r="P143" s="190"/>
      <c r="Q143" s="197"/>
      <c r="R143" s="197"/>
      <c r="S143" s="190" t="s">
        <v>184</v>
      </c>
      <c r="T143" s="190"/>
      <c r="U143" s="190" t="s">
        <v>575</v>
      </c>
      <c r="V143" s="190"/>
      <c r="W143" s="190"/>
      <c r="X143" s="200">
        <v>0</v>
      </c>
      <c r="Y143" s="15"/>
    </row>
    <row r="144" spans="1:25">
      <c r="A144" s="31"/>
      <c r="B144" s="31"/>
      <c r="C144" s="31"/>
      <c r="D144" s="31"/>
      <c r="E144" s="31"/>
      <c r="F144" s="31"/>
      <c r="G144" s="31"/>
      <c r="H144" s="31"/>
      <c r="I144" s="101"/>
      <c r="J144" s="31"/>
      <c r="K144" s="31"/>
      <c r="L144" s="31"/>
      <c r="M144" s="31"/>
      <c r="N144" s="31"/>
      <c r="O144" s="31"/>
      <c r="P144" s="31"/>
      <c r="Q144" s="31"/>
      <c r="R144" s="31"/>
      <c r="S144" s="31"/>
      <c r="T144" s="31"/>
      <c r="U144" s="31"/>
      <c r="V144" s="31"/>
      <c r="W144" s="94"/>
    </row>
    <row r="145" spans="7:23">
      <c r="G145" s="57"/>
      <c r="N145" s="15"/>
      <c r="W145" s="36"/>
    </row>
    <row r="146" spans="7:23">
      <c r="G146" s="57"/>
      <c r="N146" s="15"/>
      <c r="W146" s="36"/>
    </row>
    <row r="147" spans="7:23">
      <c r="G147" s="57"/>
      <c r="N147" s="15"/>
      <c r="W147" s="36"/>
    </row>
    <row r="148" spans="7:23">
      <c r="G148" s="57"/>
      <c r="N148" s="15"/>
      <c r="W148" s="36"/>
    </row>
    <row r="149" spans="7:23">
      <c r="G149" s="57"/>
      <c r="N149" s="15"/>
      <c r="W149" s="36"/>
    </row>
    <row r="150" spans="7:23">
      <c r="G150" s="57"/>
      <c r="N150" s="15"/>
      <c r="W150" s="36"/>
    </row>
    <row r="151" spans="7:23">
      <c r="G151" s="57"/>
      <c r="N151" s="15"/>
      <c r="W151" s="36"/>
    </row>
    <row r="152" spans="7:23">
      <c r="G152" s="57"/>
      <c r="N152" s="15"/>
      <c r="W152" s="36"/>
    </row>
    <row r="153" spans="7:23">
      <c r="G153" s="57"/>
      <c r="N153" s="15"/>
      <c r="W153" s="36"/>
    </row>
    <row r="154" spans="7:23">
      <c r="G154" s="57"/>
      <c r="N154" s="15"/>
      <c r="W154" s="36"/>
    </row>
    <row r="155" spans="7:23">
      <c r="G155" s="57"/>
      <c r="N155" s="15"/>
      <c r="W155" s="36"/>
    </row>
    <row r="156" spans="7:23">
      <c r="G156" s="57"/>
      <c r="N156" s="15"/>
      <c r="W156" s="36"/>
    </row>
    <row r="157" spans="7:23">
      <c r="G157" s="57"/>
      <c r="N157" s="15"/>
      <c r="W157" s="36"/>
    </row>
    <row r="158" spans="7:23">
      <c r="G158" s="57"/>
      <c r="N158" s="15"/>
      <c r="W158" s="36"/>
    </row>
    <row r="159" spans="7:23">
      <c r="G159" s="57"/>
      <c r="N159" s="15"/>
      <c r="W159" s="36"/>
    </row>
    <row r="160" spans="7:23">
      <c r="G160" s="57"/>
      <c r="N160" s="15"/>
      <c r="W160" s="36"/>
    </row>
    <row r="161" spans="7:23">
      <c r="G161" s="57"/>
      <c r="N161" s="15"/>
      <c r="W161" s="36"/>
    </row>
    <row r="162" spans="7:23">
      <c r="G162" s="57"/>
      <c r="N162" s="15"/>
      <c r="W162" s="36"/>
    </row>
    <row r="163" spans="7:23">
      <c r="G163" s="57"/>
      <c r="N163" s="15"/>
      <c r="W163" s="36"/>
    </row>
    <row r="164" spans="7:23">
      <c r="G164" s="57"/>
      <c r="N164" s="15"/>
      <c r="W164" s="36"/>
    </row>
    <row r="165" spans="7:23">
      <c r="G165" s="57"/>
      <c r="N165" s="15"/>
      <c r="W165" s="36"/>
    </row>
    <row r="166" spans="7:23">
      <c r="G166" s="57"/>
      <c r="N166" s="15"/>
      <c r="W166" s="36"/>
    </row>
    <row r="167" spans="7:23">
      <c r="G167" s="57"/>
      <c r="N167" s="15"/>
      <c r="W167" s="36"/>
    </row>
    <row r="168" spans="7:23">
      <c r="G168" s="57"/>
      <c r="N168" s="15"/>
      <c r="W168" s="36"/>
    </row>
    <row r="169" spans="7:23">
      <c r="G169" s="57"/>
      <c r="N169" s="15"/>
      <c r="W169" s="36"/>
    </row>
    <row r="170" spans="7:23">
      <c r="G170" s="57"/>
      <c r="N170" s="15"/>
      <c r="W170" s="36"/>
    </row>
    <row r="171" spans="7:23">
      <c r="G171" s="57"/>
      <c r="N171" s="15"/>
      <c r="W171" s="36"/>
    </row>
    <row r="172" spans="7:23">
      <c r="G172" s="57"/>
      <c r="N172" s="15"/>
      <c r="W172" s="36"/>
    </row>
    <row r="173" spans="7:23">
      <c r="G173" s="57"/>
      <c r="N173" s="15"/>
      <c r="W173" s="36"/>
    </row>
    <row r="174" spans="7:23">
      <c r="G174" s="57"/>
      <c r="N174" s="15"/>
      <c r="W174" s="36"/>
    </row>
    <row r="175" spans="7:23">
      <c r="G175" s="57"/>
      <c r="N175" s="15"/>
      <c r="W175" s="36"/>
    </row>
    <row r="176" spans="7:23">
      <c r="G176" s="57"/>
      <c r="N176" s="15"/>
      <c r="W176" s="36"/>
    </row>
    <row r="177" spans="7:23">
      <c r="G177" s="57"/>
      <c r="N177" s="15"/>
      <c r="W177" s="36"/>
    </row>
    <row r="178" spans="7:23">
      <c r="G178" s="57"/>
      <c r="N178" s="15"/>
      <c r="W178" s="36"/>
    </row>
    <row r="179" spans="7:23">
      <c r="G179" s="57"/>
      <c r="N179" s="15"/>
      <c r="W179" s="36"/>
    </row>
    <row r="180" spans="7:23">
      <c r="G180" s="57"/>
      <c r="N180" s="15"/>
      <c r="W180" s="36"/>
    </row>
    <row r="181" spans="7:23">
      <c r="G181" s="57"/>
      <c r="N181" s="15"/>
      <c r="W181" s="36"/>
    </row>
    <row r="182" spans="7:23">
      <c r="G182" s="57"/>
      <c r="N182" s="15"/>
      <c r="W182" s="36"/>
    </row>
    <row r="183" spans="7:23">
      <c r="G183" s="57"/>
      <c r="N183" s="15"/>
      <c r="W183" s="36"/>
    </row>
    <row r="184" spans="7:23">
      <c r="G184" s="57"/>
      <c r="N184" s="15"/>
      <c r="W184" s="36"/>
    </row>
    <row r="185" spans="7:23">
      <c r="G185" s="57"/>
      <c r="N185" s="15"/>
      <c r="W185" s="36"/>
    </row>
    <row r="186" spans="7:23">
      <c r="G186" s="57"/>
      <c r="N186" s="15"/>
      <c r="W186" s="36"/>
    </row>
    <row r="187" spans="7:23">
      <c r="G187" s="57"/>
      <c r="N187" s="15"/>
      <c r="W187" s="36"/>
    </row>
    <row r="188" spans="7:23">
      <c r="G188" s="57"/>
      <c r="N188" s="15"/>
      <c r="W188" s="36"/>
    </row>
    <row r="189" spans="7:23">
      <c r="G189" s="57"/>
      <c r="N189" s="15"/>
      <c r="W189" s="36"/>
    </row>
    <row r="190" spans="7:23">
      <c r="G190" s="57"/>
      <c r="N190" s="15"/>
      <c r="W190" s="36"/>
    </row>
    <row r="191" spans="7:23">
      <c r="G191" s="57"/>
      <c r="N191" s="15"/>
      <c r="W191" s="36"/>
    </row>
    <row r="192" spans="7:23">
      <c r="G192" s="57"/>
      <c r="N192" s="15"/>
      <c r="W192" s="36"/>
    </row>
    <row r="193" spans="7:23">
      <c r="G193" s="57"/>
      <c r="N193" s="15"/>
      <c r="W193" s="36"/>
    </row>
    <row r="194" spans="7:23">
      <c r="G194" s="57"/>
      <c r="N194" s="15"/>
      <c r="W194" s="36"/>
    </row>
    <row r="195" spans="7:23">
      <c r="G195" s="57"/>
      <c r="N195" s="15"/>
      <c r="W195" s="36"/>
    </row>
    <row r="196" spans="7:23">
      <c r="G196" s="57"/>
      <c r="N196" s="15"/>
      <c r="W196" s="36"/>
    </row>
    <row r="197" spans="7:23">
      <c r="G197" s="57"/>
      <c r="N197" s="15"/>
      <c r="W197" s="36"/>
    </row>
    <row r="198" spans="7:23">
      <c r="G198" s="57"/>
      <c r="N198" s="15"/>
      <c r="W198" s="36"/>
    </row>
    <row r="199" spans="7:23">
      <c r="G199" s="57"/>
      <c r="N199" s="15"/>
      <c r="W199" s="36"/>
    </row>
    <row r="200" spans="7:23">
      <c r="G200" s="57"/>
      <c r="N200" s="15"/>
      <c r="W200" s="36"/>
    </row>
    <row r="201" spans="7:23">
      <c r="G201" s="57"/>
      <c r="N201" s="15"/>
      <c r="W201" s="36"/>
    </row>
    <row r="202" spans="7:23">
      <c r="G202" s="57"/>
      <c r="N202" s="15"/>
      <c r="W202" s="36"/>
    </row>
    <row r="203" spans="7:23">
      <c r="G203" s="57"/>
      <c r="N203" s="15"/>
      <c r="W203" s="36"/>
    </row>
    <row r="204" spans="7:23">
      <c r="G204" s="57"/>
      <c r="N204" s="15"/>
      <c r="W204" s="36"/>
    </row>
    <row r="205" spans="7:23">
      <c r="G205" s="57"/>
      <c r="N205" s="15"/>
      <c r="W205" s="36"/>
    </row>
    <row r="206" spans="7:23">
      <c r="G206" s="57"/>
      <c r="N206" s="15"/>
      <c r="W206" s="36"/>
    </row>
    <row r="207" spans="7:23">
      <c r="G207" s="57"/>
      <c r="N207" s="15"/>
      <c r="W207" s="36"/>
    </row>
    <row r="208" spans="7:23">
      <c r="G208" s="57"/>
      <c r="N208" s="15"/>
      <c r="W208" s="36"/>
    </row>
    <row r="209" spans="7:23">
      <c r="G209" s="57"/>
      <c r="N209" s="15"/>
      <c r="W209" s="36"/>
    </row>
    <row r="210" spans="7:23">
      <c r="G210" s="57"/>
      <c r="N210" s="15"/>
      <c r="W210" s="36"/>
    </row>
    <row r="211" spans="7:23">
      <c r="G211" s="57"/>
      <c r="N211" s="15"/>
      <c r="W211" s="36"/>
    </row>
    <row r="212" spans="7:23">
      <c r="G212" s="57"/>
      <c r="N212" s="15"/>
      <c r="W212" s="36"/>
    </row>
    <row r="213" spans="7:23">
      <c r="G213" s="57"/>
      <c r="N213" s="15"/>
      <c r="W213" s="36"/>
    </row>
    <row r="214" spans="7:23">
      <c r="G214" s="57"/>
      <c r="N214" s="15"/>
      <c r="W214" s="36"/>
    </row>
    <row r="215" spans="7:23">
      <c r="G215" s="57"/>
      <c r="N215" s="15"/>
      <c r="W215" s="36"/>
    </row>
    <row r="216" spans="7:23">
      <c r="G216" s="57"/>
      <c r="N216" s="15"/>
      <c r="W216" s="36"/>
    </row>
    <row r="217" spans="7:23">
      <c r="G217" s="57"/>
      <c r="N217" s="15"/>
      <c r="W217" s="36"/>
    </row>
    <row r="218" spans="7:23">
      <c r="G218" s="57"/>
      <c r="N218" s="15"/>
      <c r="W218" s="36"/>
    </row>
    <row r="219" spans="7:23">
      <c r="G219" s="57"/>
      <c r="N219" s="15"/>
      <c r="W219" s="36"/>
    </row>
    <row r="220" spans="7:23">
      <c r="G220" s="57"/>
      <c r="N220" s="15"/>
      <c r="W220" s="36"/>
    </row>
    <row r="221" spans="7:23">
      <c r="G221" s="57"/>
      <c r="N221" s="15"/>
      <c r="W221" s="36"/>
    </row>
    <row r="222" spans="7:23">
      <c r="G222" s="57"/>
      <c r="N222" s="15"/>
      <c r="W222" s="36"/>
    </row>
    <row r="223" spans="7:23">
      <c r="G223" s="57"/>
      <c r="N223" s="15"/>
      <c r="W223" s="36"/>
    </row>
    <row r="224" spans="7:23">
      <c r="G224" s="57"/>
      <c r="N224" s="15"/>
      <c r="W224" s="36"/>
    </row>
    <row r="225" spans="7:23">
      <c r="G225" s="57"/>
      <c r="N225" s="15"/>
      <c r="W225" s="36"/>
    </row>
    <row r="226" spans="7:23">
      <c r="G226" s="57"/>
      <c r="N226" s="15"/>
      <c r="W226" s="36"/>
    </row>
    <row r="227" spans="7:23">
      <c r="G227" s="57"/>
      <c r="N227" s="15"/>
      <c r="W227" s="36"/>
    </row>
    <row r="228" spans="7:23">
      <c r="G228" s="57"/>
      <c r="N228" s="15"/>
      <c r="W228" s="36"/>
    </row>
    <row r="229" spans="7:23">
      <c r="G229" s="57"/>
      <c r="N229" s="15"/>
      <c r="W229" s="36"/>
    </row>
    <row r="230" spans="7:23">
      <c r="G230" s="57"/>
      <c r="N230" s="15"/>
      <c r="W230" s="36"/>
    </row>
    <row r="231" spans="7:23">
      <c r="G231" s="57"/>
      <c r="N231" s="15"/>
      <c r="W231" s="36"/>
    </row>
    <row r="232" spans="7:23">
      <c r="G232" s="57"/>
      <c r="N232" s="15"/>
      <c r="W232" s="36"/>
    </row>
    <row r="233" spans="7:23">
      <c r="G233" s="57"/>
      <c r="N233" s="15"/>
      <c r="W233" s="36"/>
    </row>
    <row r="234" spans="7:23">
      <c r="G234" s="57"/>
      <c r="N234" s="15"/>
      <c r="W234" s="36"/>
    </row>
    <row r="235" spans="7:23">
      <c r="G235" s="57"/>
      <c r="N235" s="15"/>
      <c r="W235" s="36"/>
    </row>
    <row r="236" spans="7:23">
      <c r="G236" s="57"/>
      <c r="N236" s="15"/>
      <c r="W236" s="36"/>
    </row>
    <row r="237" spans="7:23">
      <c r="G237" s="57"/>
      <c r="N237" s="15"/>
      <c r="W237" s="36"/>
    </row>
    <row r="238" spans="7:23">
      <c r="G238" s="57"/>
      <c r="N238" s="15"/>
      <c r="W238" s="36"/>
    </row>
    <row r="239" spans="7:23">
      <c r="G239" s="57"/>
      <c r="N239" s="15"/>
      <c r="W239" s="36"/>
    </row>
    <row r="240" spans="7:23">
      <c r="G240" s="57"/>
      <c r="N240" s="15"/>
      <c r="W240" s="36"/>
    </row>
    <row r="241" spans="7:23">
      <c r="G241" s="57"/>
      <c r="N241" s="15"/>
      <c r="W241" s="36"/>
    </row>
    <row r="242" spans="7:23">
      <c r="G242" s="57"/>
      <c r="N242" s="15"/>
      <c r="W242" s="36"/>
    </row>
    <row r="243" spans="7:23">
      <c r="G243" s="57"/>
      <c r="N243" s="15"/>
      <c r="W243" s="36"/>
    </row>
    <row r="244" spans="7:23">
      <c r="G244" s="57"/>
      <c r="N244" s="15"/>
      <c r="W244" s="36"/>
    </row>
    <row r="245" spans="7:23">
      <c r="G245" s="57"/>
      <c r="N245" s="15"/>
      <c r="W245" s="36"/>
    </row>
    <row r="246" spans="7:23">
      <c r="G246" s="57"/>
      <c r="N246" s="15"/>
      <c r="W246" s="36"/>
    </row>
    <row r="247" spans="7:23">
      <c r="G247" s="57"/>
      <c r="N247" s="15"/>
      <c r="W247" s="36"/>
    </row>
    <row r="248" spans="7:23">
      <c r="G248" s="57"/>
      <c r="N248" s="15"/>
      <c r="W248" s="36"/>
    </row>
    <row r="249" spans="7:23">
      <c r="G249" s="57"/>
      <c r="N249" s="15"/>
      <c r="W249" s="36"/>
    </row>
    <row r="250" spans="7:23">
      <c r="G250" s="57"/>
      <c r="N250" s="15"/>
      <c r="W250" s="36"/>
    </row>
    <row r="251" spans="7:23">
      <c r="G251" s="57"/>
      <c r="N251" s="15"/>
      <c r="W251" s="36"/>
    </row>
    <row r="252" spans="7:23">
      <c r="G252" s="57"/>
      <c r="N252" s="15"/>
      <c r="W252" s="36"/>
    </row>
    <row r="253" spans="7:23">
      <c r="G253" s="57"/>
      <c r="N253" s="15"/>
      <c r="W253" s="36"/>
    </row>
    <row r="254" spans="7:23">
      <c r="G254" s="57"/>
      <c r="N254" s="15"/>
      <c r="W254" s="36"/>
    </row>
    <row r="255" spans="7:23">
      <c r="G255" s="57"/>
      <c r="N255" s="15"/>
      <c r="W255" s="36"/>
    </row>
    <row r="256" spans="7:23">
      <c r="G256" s="57"/>
      <c r="N256" s="15"/>
      <c r="W256" s="36"/>
    </row>
    <row r="257" spans="7:23">
      <c r="G257" s="57"/>
      <c r="N257" s="15"/>
      <c r="W257" s="36"/>
    </row>
    <row r="258" spans="7:23">
      <c r="G258" s="57"/>
      <c r="N258" s="15"/>
      <c r="W258" s="36"/>
    </row>
    <row r="259" spans="7:23">
      <c r="G259" s="57"/>
      <c r="N259" s="15"/>
      <c r="W259" s="36"/>
    </row>
    <row r="260" spans="7:23">
      <c r="G260" s="57"/>
      <c r="N260" s="15"/>
      <c r="W260" s="36"/>
    </row>
    <row r="261" spans="7:23">
      <c r="G261" s="57"/>
      <c r="N261" s="15"/>
      <c r="W261" s="36"/>
    </row>
    <row r="262" spans="7:23">
      <c r="G262" s="57"/>
      <c r="N262" s="15"/>
      <c r="W262" s="36"/>
    </row>
    <row r="263" spans="7:23">
      <c r="G263" s="57"/>
      <c r="N263" s="15"/>
      <c r="W263" s="36"/>
    </row>
    <row r="264" spans="7:23">
      <c r="G264" s="57"/>
      <c r="N264" s="15"/>
      <c r="W264" s="36"/>
    </row>
    <row r="265" spans="7:23">
      <c r="G265" s="57"/>
      <c r="N265" s="15"/>
      <c r="W265" s="36"/>
    </row>
    <row r="266" spans="7:23">
      <c r="G266" s="57"/>
      <c r="N266" s="15"/>
      <c r="W266" s="36"/>
    </row>
    <row r="267" spans="7:23">
      <c r="G267" s="57"/>
      <c r="N267" s="15"/>
      <c r="W267" s="36"/>
    </row>
    <row r="268" spans="7:23">
      <c r="G268" s="57"/>
      <c r="N268" s="15"/>
      <c r="W268" s="36"/>
    </row>
    <row r="269" spans="7:23">
      <c r="G269" s="57"/>
      <c r="N269" s="15"/>
      <c r="W269" s="36"/>
    </row>
    <row r="270" spans="7:23">
      <c r="G270" s="57"/>
      <c r="N270" s="15"/>
      <c r="W270" s="36"/>
    </row>
    <row r="271" spans="7:23">
      <c r="G271" s="57"/>
      <c r="N271" s="15"/>
      <c r="W271" s="36"/>
    </row>
    <row r="272" spans="7:23">
      <c r="G272" s="57"/>
      <c r="N272" s="15"/>
      <c r="W272" s="36"/>
    </row>
    <row r="273" spans="7:23">
      <c r="G273" s="57"/>
      <c r="N273" s="15"/>
      <c r="W273" s="36"/>
    </row>
    <row r="274" spans="7:23">
      <c r="G274" s="57"/>
      <c r="N274" s="15"/>
      <c r="W274" s="36"/>
    </row>
    <row r="275" spans="7:23">
      <c r="G275" s="57"/>
      <c r="N275" s="15"/>
      <c r="W275" s="36"/>
    </row>
    <row r="276" spans="7:23">
      <c r="G276" s="57"/>
      <c r="N276" s="15"/>
      <c r="W276" s="36"/>
    </row>
    <row r="277" spans="7:23">
      <c r="G277" s="57"/>
      <c r="N277" s="15"/>
      <c r="W277" s="36"/>
    </row>
    <row r="278" spans="7:23">
      <c r="G278" s="57"/>
      <c r="N278" s="15"/>
      <c r="W278" s="36"/>
    </row>
    <row r="279" spans="7:23">
      <c r="G279" s="57"/>
      <c r="N279" s="15"/>
      <c r="W279" s="36"/>
    </row>
    <row r="280" spans="7:23">
      <c r="G280" s="57"/>
      <c r="N280" s="15"/>
      <c r="W280" s="36"/>
    </row>
    <row r="316" spans="1:23">
      <c r="A316" s="31"/>
      <c r="B316" s="31"/>
      <c r="C316" s="31"/>
      <c r="D316" s="31"/>
      <c r="E316" s="31"/>
      <c r="F316" s="31"/>
      <c r="H316" s="31"/>
      <c r="I316" s="31"/>
      <c r="J316" s="31"/>
      <c r="K316" s="31"/>
      <c r="L316" s="31"/>
      <c r="M316" s="31"/>
      <c r="O316" s="31"/>
      <c r="P316" s="31"/>
      <c r="Q316" s="31"/>
      <c r="R316" s="31"/>
      <c r="S316" s="31"/>
      <c r="T316" s="31"/>
      <c r="U316" s="31"/>
      <c r="V316" s="31"/>
      <c r="W316" s="31"/>
    </row>
  </sheetData>
  <autoFilter ref="A1:Y143" xr:uid="{47EF0124-AA10-45CC-B7C9-B37798AB6596}">
    <sortState xmlns:xlrd2="http://schemas.microsoft.com/office/spreadsheetml/2017/richdata2" ref="A2:Y143">
      <sortCondition ref="D1:D143"/>
    </sortState>
  </autoFilter>
  <hyperlinks>
    <hyperlink ref="J19" r:id="rId1" xr:uid="{7F6F76D0-2C97-4B5A-90DF-3F5D0BC8889E}"/>
    <hyperlink ref="J16" r:id="rId2" xr:uid="{DFC4381E-868A-4FC1-B7D6-B08E4D7EA2E7}"/>
    <hyperlink ref="J9" r:id="rId3" xr:uid="{D632FFC9-201D-4FA8-8B7D-61400AD125BC}"/>
    <hyperlink ref="J10" r:id="rId4" xr:uid="{40C4E885-5DDB-4D07-AD46-E2E37466C39D}"/>
    <hyperlink ref="J69" r:id="rId5" xr:uid="{6963E56E-1138-497D-ABB9-79F993A98C60}"/>
    <hyperlink ref="J17" r:id="rId6" xr:uid="{7D5F89BF-B502-4B55-8798-77E4CDD36698}"/>
    <hyperlink ref="J119" r:id="rId7" xr:uid="{5C045AC3-A43D-4D12-BCEE-A8104AAB06A8}"/>
    <hyperlink ref="J57" r:id="rId8" xr:uid="{D63D695B-E248-49B0-BB26-8995ABD80493}"/>
    <hyperlink ref="J117" r:id="rId9" xr:uid="{2F278A97-1B92-4C6B-88B5-BA930C9CE414}"/>
    <hyperlink ref="J24" r:id="rId10" xr:uid="{3D5CE5C1-8F1C-4A9F-A0FB-65DB9777384E}"/>
    <hyperlink ref="J25" r:id="rId11" xr:uid="{793DB23E-8575-4043-8565-86406E2B7135}"/>
    <hyperlink ref="J51" r:id="rId12" xr:uid="{F7D01E21-4821-476C-8EFA-A0056FB98BF7}"/>
    <hyperlink ref="J27" r:id="rId13" xr:uid="{36162559-C0D7-4798-B0F9-9CC4BBC4E51D}"/>
    <hyperlink ref="J118" r:id="rId14" xr:uid="{C695D43B-B0B1-49ED-8DF4-3982AB219DDB}"/>
    <hyperlink ref="J33" r:id="rId15" xr:uid="{19F5530D-D952-4654-A039-2C67133B7F88}"/>
    <hyperlink ref="J34" r:id="rId16" xr:uid="{8C158377-FD4C-4013-A5FB-406117B09B23}"/>
    <hyperlink ref="J35" r:id="rId17" xr:uid="{04F5D4F6-3F4E-4427-A640-BF0FA6D746F8}"/>
    <hyperlink ref="J32" r:id="rId18" xr:uid="{618A1A56-7AD1-4D55-A09D-71F0B888C924}"/>
    <hyperlink ref="J5" r:id="rId19" xr:uid="{80F1F948-3FC3-4040-AB02-EE8239E9AB07}"/>
    <hyperlink ref="J100" r:id="rId20" xr:uid="{AF0449DA-3C27-4C32-AC92-3C489DB3D943}"/>
    <hyperlink ref="J41" r:id="rId21" xr:uid="{75CA7FB7-9A83-4BDC-8C6D-998F1A94B551}"/>
    <hyperlink ref="J42" r:id="rId22" xr:uid="{68024DE5-39A0-45D7-883B-4102A38A2341}"/>
    <hyperlink ref="J44" r:id="rId23" xr:uid="{8ECEF523-5D87-4B75-B98B-207A489D504A}"/>
    <hyperlink ref="J43" r:id="rId24" location="/ext(popup:item/1060844/advert)" xr:uid="{FC4C7844-8262-4802-9B54-3A13F9E0D2B1}"/>
    <hyperlink ref="J45" r:id="rId25" xr:uid="{108E4781-1AF7-4F59-B368-CD32E32D2305}"/>
    <hyperlink ref="J46" r:id="rId26" xr:uid="{CD41666A-B947-43BE-94E4-98265684FA10}"/>
    <hyperlink ref="J139" r:id="rId27" xr:uid="{5282E967-2ED0-420F-A1C5-883F940B429C}"/>
    <hyperlink ref="J60" r:id="rId28" xr:uid="{E5E7C4D6-40BD-464E-B785-76EAD265E96E}"/>
    <hyperlink ref="J61" r:id="rId29" xr:uid="{C5840D71-D982-447C-8CD6-EF59AECC8457}"/>
    <hyperlink ref="J63" r:id="rId30" xr:uid="{41733A30-4BB9-4177-9FF7-AFB4A9E02B95}"/>
    <hyperlink ref="J64" r:id="rId31" xr:uid="{DA747BC8-01F8-471C-AFAE-B32622124DAB}"/>
    <hyperlink ref="J70" r:id="rId32" xr:uid="{B97CAA37-25BB-41BF-8B7E-1A4096E432D5}"/>
    <hyperlink ref="J75" r:id="rId33" xr:uid="{7D9F73CB-7070-42A6-BAF0-2A4C33EBF7F8}"/>
    <hyperlink ref="J76" r:id="rId34" xr:uid="{1E478954-CEE0-4782-A3BE-04C9D60D0897}"/>
    <hyperlink ref="J78" r:id="rId35" xr:uid="{F8A2698F-077F-493F-96F9-8A828B6CFE1E}"/>
    <hyperlink ref="J85" r:id="rId36" xr:uid="{2FF77B85-735F-4D8D-9D08-F6DFE49E63DF}"/>
    <hyperlink ref="J87" r:id="rId37" xr:uid="{D8CBBA96-B949-48B8-9887-451747756129}"/>
    <hyperlink ref="J96" r:id="rId38" xr:uid="{A95110F9-994E-4011-852C-F6AF20AD7AB8}"/>
    <hyperlink ref="E87" r:id="rId39" xr:uid="{B6BA5110-1E14-470F-86DF-09037766DD2E}"/>
    <hyperlink ref="E85" r:id="rId40" xr:uid="{45ECFD68-26B8-40D4-8B78-B381867CF0A1}"/>
    <hyperlink ref="E78" r:id="rId41" xr:uid="{A94C8AD0-4466-4282-8533-DB4C0F2F5734}"/>
    <hyperlink ref="E76" r:id="rId42" xr:uid="{770D06A5-1F9B-49E2-B800-77F9DD2EF03D}"/>
    <hyperlink ref="E70" r:id="rId43" xr:uid="{5A26DAC7-6668-4BC7-B78B-7AD56B9F0600}"/>
    <hyperlink ref="E60" r:id="rId44" xr:uid="{C25C0C86-5744-4C4A-9987-2764758CDB5B}"/>
    <hyperlink ref="E24" r:id="rId45" xr:uid="{406D8C81-A60C-4535-B5AF-57969A5C5429}"/>
    <hyperlink ref="E96" r:id="rId46" xr:uid="{D4F6339C-278C-4572-9A8F-63FB557DD7E5}"/>
    <hyperlink ref="E27" r:id="rId47" xr:uid="{736DACA1-939A-4543-B32B-44FA3BED742D}"/>
    <hyperlink ref="N83" r:id="rId48" xr:uid="{DA0FEF4C-5DCE-4268-BF06-B01CD2ED55E2}"/>
    <hyperlink ref="J6" r:id="rId49" xr:uid="{2915AB43-8995-489A-82B0-65AF2165F40B}"/>
    <hyperlink ref="E61" r:id="rId50" xr:uid="{243270D5-C02D-4E33-8AA7-6C2B6B71FF2A}"/>
    <hyperlink ref="J49" r:id="rId51" xr:uid="{FFC5FD51-C9A9-4BE9-A7E9-BFF9796098F1}"/>
  </hyperlinks>
  <pageMargins left="0.7" right="0.7" top="0.75" bottom="0.75" header="0.3" footer="0.3"/>
  <legacyDrawing r:id="rId5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1F096-1DFE-405A-A2A6-CE1A7D777DC5}">
  <dimension ref="A1:M149"/>
  <sheetViews>
    <sheetView topLeftCell="G13" workbookViewId="0">
      <selection activeCell="L2" sqref="L2"/>
    </sheetView>
  </sheetViews>
  <sheetFormatPr defaultRowHeight="15"/>
  <cols>
    <col min="1" max="1" width="16" bestFit="1" customWidth="1"/>
    <col min="2" max="2" width="17.7109375" bestFit="1" customWidth="1"/>
    <col min="3" max="3" width="63.28515625" customWidth="1"/>
    <col min="4" max="4" width="32.42578125" customWidth="1"/>
    <col min="5" max="5" width="16.7109375" customWidth="1"/>
    <col min="6" max="6" width="21.28515625" customWidth="1"/>
    <col min="7" max="7" width="21.28515625" style="108" customWidth="1"/>
    <col min="9" max="9" width="11.140625" customWidth="1"/>
    <col min="10" max="10" width="36.5703125" bestFit="1" customWidth="1"/>
    <col min="11" max="11" width="14.85546875" bestFit="1" customWidth="1"/>
    <col min="12" max="12" width="21" bestFit="1" customWidth="1"/>
  </cols>
  <sheetData>
    <row r="1" spans="1:13" ht="29.25">
      <c r="A1" s="43" t="s">
        <v>0</v>
      </c>
      <c r="B1" s="43" t="s">
        <v>576</v>
      </c>
      <c r="C1" s="43" t="s">
        <v>577</v>
      </c>
      <c r="D1" s="43" t="s">
        <v>578</v>
      </c>
      <c r="E1" s="43" t="s">
        <v>579</v>
      </c>
      <c r="F1" s="43" t="s">
        <v>580</v>
      </c>
      <c r="G1" s="104" t="s">
        <v>581</v>
      </c>
      <c r="H1" s="43" t="s">
        <v>582</v>
      </c>
      <c r="I1" s="43" t="s">
        <v>583</v>
      </c>
      <c r="J1" s="52" t="s">
        <v>584</v>
      </c>
      <c r="K1" s="52" t="s">
        <v>585</v>
      </c>
      <c r="L1" s="52" t="s">
        <v>200</v>
      </c>
    </row>
    <row r="2" spans="1:13" ht="87">
      <c r="A2" s="44">
        <v>45645.375</v>
      </c>
      <c r="B2" s="45" t="s">
        <v>586</v>
      </c>
      <c r="C2" s="102" t="s">
        <v>587</v>
      </c>
      <c r="D2" s="46" t="str">
        <f>HYPERLINK("https://tenderplus.kz/zakupki/42806665","Услуги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2" s="47">
        <v>40575000</v>
      </c>
      <c r="F2" s="103" t="str">
        <f>HYPERLINK("https://goszakup.gov.kz/ru/announce/index/13474903","Государственные закупки")</f>
        <v>Государственные закупки</v>
      </c>
      <c r="G2" s="105" t="s">
        <v>588</v>
      </c>
      <c r="H2" s="45" t="s">
        <v>589</v>
      </c>
      <c r="I2" s="85" t="s">
        <v>590</v>
      </c>
      <c r="J2" s="17" t="s">
        <v>591</v>
      </c>
      <c r="K2" s="17">
        <v>40372125</v>
      </c>
      <c r="L2" s="79">
        <f>(K2-E2)/E2</f>
        <v>-5.0000000000000001E-3</v>
      </c>
      <c r="M2" s="78"/>
    </row>
    <row r="3" spans="1:13" ht="33">
      <c r="A3" s="44">
        <v>45646.375</v>
      </c>
      <c r="B3" s="45" t="s">
        <v>592</v>
      </c>
      <c r="C3" s="45" t="s">
        <v>593</v>
      </c>
      <c r="D3" s="46" t="str">
        <f>HYPERLINK("https://tenderplus.kz/zakupki/42872484","Услуги по обеспечению информационной безопасности")</f>
        <v>Услуги по обеспечению информационной безопасности</v>
      </c>
      <c r="E3" s="47">
        <v>32476750</v>
      </c>
      <c r="F3" s="103" t="str">
        <f>HYPERLINK("https://goszakup.gov.kz/ru/announce/index/13509888","Государственные закупки")</f>
        <v>Государственные закупки</v>
      </c>
      <c r="G3" s="105" t="s">
        <v>594</v>
      </c>
      <c r="H3" s="45" t="s">
        <v>595</v>
      </c>
      <c r="I3" s="85" t="s">
        <v>590</v>
      </c>
      <c r="J3" s="17" t="s">
        <v>596</v>
      </c>
      <c r="K3" s="17">
        <v>18000000</v>
      </c>
      <c r="L3" s="79">
        <f>(K3-E3)/E3</f>
        <v>-0.44575734948848023</v>
      </c>
    </row>
    <row r="4" spans="1:13" ht="33">
      <c r="A4" s="44">
        <v>45646.375</v>
      </c>
      <c r="B4" s="45" t="s">
        <v>597</v>
      </c>
      <c r="C4" s="45" t="s">
        <v>598</v>
      </c>
      <c r="D4" s="46" t="str">
        <f>HYPERLINK("https://tenderplus.kz/zakupki/42873045","Услуги по обеспечению информационной безопасности")</f>
        <v>Услуги по обеспечению информационной безопасности</v>
      </c>
      <c r="E4" s="47">
        <v>33932142.859999999</v>
      </c>
      <c r="F4" s="103" t="str">
        <f>HYPERLINK("https://goszakup.gov.kz/ru/announce/index/13510711","Государственные закупки")</f>
        <v>Государственные закупки</v>
      </c>
      <c r="G4" s="106" t="s">
        <v>599</v>
      </c>
      <c r="H4" s="45" t="s">
        <v>589</v>
      </c>
      <c r="I4" s="85" t="s">
        <v>590</v>
      </c>
      <c r="J4" s="17" t="s">
        <v>541</v>
      </c>
      <c r="K4" s="17">
        <v>33900000</v>
      </c>
      <c r="L4" s="79">
        <f t="shared" ref="L3:L64" si="0">(K4-E4)/E4</f>
        <v>-9.4726879267887786E-4</v>
      </c>
    </row>
    <row r="5" spans="1:13" ht="29.25">
      <c r="A5" s="44">
        <v>45649.5</v>
      </c>
      <c r="B5" s="45" t="s">
        <v>600</v>
      </c>
      <c r="C5" s="45" t="s">
        <v>601</v>
      </c>
      <c r="D5" s="46" t="str">
        <f>HYPERLINK("https://tenderplus.kz/zakupki/42887798","Услуги по обеспечению информационной безопасности")</f>
        <v>Услуги по обеспечению информационной безопасности</v>
      </c>
      <c r="E5" s="47">
        <v>120000000</v>
      </c>
      <c r="F5" s="103" t="str">
        <f>HYPERLINK("https://eep.mitwork.kz/ru/publics/lot/498015","Mitwork")</f>
        <v>Mitwork</v>
      </c>
      <c r="G5" s="106" t="s">
        <v>602</v>
      </c>
      <c r="H5" s="45" t="s">
        <v>603</v>
      </c>
      <c r="I5" s="85" t="s">
        <v>604</v>
      </c>
      <c r="J5" s="17" t="s">
        <v>605</v>
      </c>
      <c r="K5" s="17">
        <v>110000000</v>
      </c>
      <c r="L5" s="79">
        <f t="shared" si="0"/>
        <v>-8.3333333333333329E-2</v>
      </c>
    </row>
    <row r="6" spans="1:13" ht="16.5">
      <c r="A6" s="44">
        <v>45650.416666666999</v>
      </c>
      <c r="B6" s="45" t="s">
        <v>606</v>
      </c>
      <c r="C6" s="45" t="s">
        <v>607</v>
      </c>
      <c r="D6" s="46" t="str">
        <f>HYPERLINK("https://tenderplus.kz/zakupki/42896901","Услуги по обеспечению информационной безопасности")</f>
        <v>Услуги по обеспечению информационной безопасности</v>
      </c>
      <c r="E6" s="47">
        <v>80000160</v>
      </c>
      <c r="F6" s="103" t="str">
        <f>HYPERLINK("https://eep.mitwork.kz/ru/publics/lot/498372","Mitwork")</f>
        <v>Mitwork</v>
      </c>
      <c r="G6" s="107" t="s">
        <v>216</v>
      </c>
      <c r="H6" s="45" t="s">
        <v>603</v>
      </c>
      <c r="I6" s="85" t="s">
        <v>604</v>
      </c>
      <c r="J6" s="17" t="s">
        <v>232</v>
      </c>
      <c r="K6" s="17"/>
      <c r="L6" s="79"/>
    </row>
    <row r="7" spans="1:13" ht="29.25">
      <c r="A7" s="44">
        <v>45650.416666666999</v>
      </c>
      <c r="B7" s="45" t="s">
        <v>608</v>
      </c>
      <c r="C7" s="45" t="s">
        <v>609</v>
      </c>
      <c r="D7" s="46" t="str">
        <f>HYPERLINK("https://tenderplus.kz/zakupki/42787497","Услуги по обеспечению информационной безопасности")</f>
        <v>Услуги по обеспечению информационной безопасности</v>
      </c>
      <c r="E7" s="47">
        <v>99077672</v>
      </c>
      <c r="F7" s="103" t="str">
        <f>HYPERLINK("https://zakup.sk.kz/#/ext(popup:item/3847519/lot)","Самрук-Казына")</f>
        <v>Самрук-Казына</v>
      </c>
      <c r="G7" s="105" t="s">
        <v>610</v>
      </c>
      <c r="H7" s="45" t="s">
        <v>611</v>
      </c>
      <c r="I7" s="85" t="s">
        <v>590</v>
      </c>
      <c r="J7" s="17" t="s">
        <v>259</v>
      </c>
      <c r="K7" s="17">
        <v>99077672</v>
      </c>
      <c r="L7" s="79">
        <f t="shared" si="0"/>
        <v>0</v>
      </c>
    </row>
    <row r="8" spans="1:13" ht="33">
      <c r="A8" s="44">
        <v>45653.375</v>
      </c>
      <c r="B8" s="45" t="s">
        <v>612</v>
      </c>
      <c r="C8" s="45" t="s">
        <v>613</v>
      </c>
      <c r="D8" s="46" t="str">
        <f>HYPERLINK("https://tenderplus.kz/zakupki/42850704","Услуги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8" s="47">
        <v>40234954</v>
      </c>
      <c r="F8" s="103" t="str">
        <f>HYPERLINK("https://goszakup.gov.kz/ru/announce/index/13502764","Государственные закупки")</f>
        <v>Государственные закупки</v>
      </c>
      <c r="G8" s="105" t="s">
        <v>614</v>
      </c>
      <c r="H8" s="45" t="s">
        <v>589</v>
      </c>
      <c r="I8" s="85" t="s">
        <v>590</v>
      </c>
      <c r="J8" s="17" t="s">
        <v>615</v>
      </c>
      <c r="K8" s="17">
        <v>20100000</v>
      </c>
      <c r="L8" s="79">
        <f t="shared" si="0"/>
        <v>-0.50043437355489462</v>
      </c>
    </row>
    <row r="9" spans="1:13" ht="33">
      <c r="A9" s="44">
        <v>45656.375</v>
      </c>
      <c r="B9" s="45" t="s">
        <v>616</v>
      </c>
      <c r="C9" s="45" t="s">
        <v>617</v>
      </c>
      <c r="D9" s="46" t="str">
        <f>HYPERLINK("https://tenderplus.kz/zakupki/42888276","Услуги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9" s="47">
        <v>4000000</v>
      </c>
      <c r="F9" s="103" t="str">
        <f>HYPERLINK("https://goszakup.gov.kz/ru/announce/index/13508285","Государственные закупки")</f>
        <v>Государственные закупки</v>
      </c>
      <c r="G9" s="105" t="s">
        <v>618</v>
      </c>
      <c r="H9" s="45" t="s">
        <v>595</v>
      </c>
      <c r="I9" s="85" t="s">
        <v>590</v>
      </c>
      <c r="J9" s="80" t="s">
        <v>619</v>
      </c>
      <c r="K9" s="17">
        <v>3980000</v>
      </c>
      <c r="L9" s="79">
        <f t="shared" si="0"/>
        <v>-5.0000000000000001E-3</v>
      </c>
    </row>
    <row r="10" spans="1:13" ht="43.5">
      <c r="A10" s="44">
        <v>45656.5</v>
      </c>
      <c r="B10" s="45" t="s">
        <v>620</v>
      </c>
      <c r="C10" s="45" t="s">
        <v>78</v>
      </c>
      <c r="D10" s="105" t="s">
        <v>621</v>
      </c>
      <c r="E10" s="47">
        <v>18200000</v>
      </c>
      <c r="F10" s="103" t="str">
        <f>HYPERLINK("https://eep.mitwork.kz/ru/publics/lot/500077","Mitwork")</f>
        <v>Mitwork</v>
      </c>
      <c r="G10" s="105" t="s">
        <v>622</v>
      </c>
      <c r="H10" s="45" t="s">
        <v>603</v>
      </c>
      <c r="I10" s="85" t="s">
        <v>604</v>
      </c>
      <c r="J10" s="17" t="s">
        <v>232</v>
      </c>
      <c r="K10" s="17"/>
      <c r="L10" s="79"/>
    </row>
    <row r="11" spans="1:13" ht="43.5">
      <c r="A11" s="44">
        <v>45656.708333333001</v>
      </c>
      <c r="B11" s="45" t="s">
        <v>623</v>
      </c>
      <c r="C11" s="45" t="s">
        <v>624</v>
      </c>
      <c r="D11" s="46" t="str">
        <f>HYPERLINK("https://tenderplus.kz/zakupki/42895554","Услуги по обеспечению информационной безопасности")</f>
        <v>Услуги по обеспечению информационной безопасности</v>
      </c>
      <c r="E11" s="47">
        <v>69128208</v>
      </c>
      <c r="F11" s="103" t="str">
        <f>HYPERLINK("https://zakup.sk.kz/#/ext(popup:item/3869895/lot)","Самрук-Казына")</f>
        <v>Самрук-Казына</v>
      </c>
      <c r="G11" s="105" t="s">
        <v>625</v>
      </c>
      <c r="H11" s="45" t="s">
        <v>626</v>
      </c>
      <c r="I11" s="85" t="s">
        <v>590</v>
      </c>
      <c r="J11" s="18" t="s">
        <v>478</v>
      </c>
      <c r="K11" s="17">
        <v>68436720</v>
      </c>
      <c r="L11" s="79">
        <f t="shared" si="0"/>
        <v>-1.000297881293263E-2</v>
      </c>
    </row>
    <row r="12" spans="1:13" ht="29.25">
      <c r="A12" s="44">
        <v>45662.718865741001</v>
      </c>
      <c r="B12" s="45" t="s">
        <v>627</v>
      </c>
      <c r="C12" s="45" t="s">
        <v>628</v>
      </c>
      <c r="D12" s="46" t="str">
        <f>HYPERLINK("https://tenderplus.kz/zakupki/42977395","Услуги по обеспечению информационной безопасности")</f>
        <v>Услуги по обеспечению информационной безопасности</v>
      </c>
      <c r="E12" s="47">
        <v>8972152</v>
      </c>
      <c r="F12" s="103" t="str">
        <f>HYPERLINK("https://zakup.sk.kz/#/ext(popup:item/3880590/lot)","Самрук-Казына")</f>
        <v>Самрук-Казына</v>
      </c>
      <c r="G12" s="103" t="s">
        <v>216</v>
      </c>
      <c r="H12" s="45" t="s">
        <v>629</v>
      </c>
      <c r="I12" s="85" t="s">
        <v>604</v>
      </c>
      <c r="J12" s="18" t="s">
        <v>630</v>
      </c>
      <c r="K12" s="17">
        <v>8972152</v>
      </c>
      <c r="L12" s="79">
        <f t="shared" si="0"/>
        <v>0</v>
      </c>
    </row>
    <row r="13" spans="1:13" ht="29.25">
      <c r="A13" s="44">
        <v>45663.677384258997</v>
      </c>
      <c r="B13" s="45" t="s">
        <v>631</v>
      </c>
      <c r="C13" s="45" t="s">
        <v>632</v>
      </c>
      <c r="D13" s="46" t="str">
        <f>HYPERLINK("https://tenderplus.kz/zakupki/42995994","Услуги по обеспечению информационной безопасности")</f>
        <v>Услуги по обеспечению информационной безопасности</v>
      </c>
      <c r="E13" s="47">
        <v>8237517.2000000002</v>
      </c>
      <c r="F13" s="103" t="str">
        <f>HYPERLINK("https://zakup.sk.kz/#/ext(popup:item/3888632/lot)","Самрук-Казына")</f>
        <v>Самрук-Казына</v>
      </c>
      <c r="G13" s="103" t="s">
        <v>216</v>
      </c>
      <c r="H13" s="45" t="s">
        <v>633</v>
      </c>
      <c r="I13" s="85" t="s">
        <v>604</v>
      </c>
      <c r="J13" s="18" t="s">
        <v>630</v>
      </c>
      <c r="K13" s="17">
        <v>8237517.2000000002</v>
      </c>
      <c r="L13" s="79">
        <f t="shared" si="0"/>
        <v>0</v>
      </c>
    </row>
    <row r="14" spans="1:13" ht="33">
      <c r="A14" s="44">
        <v>45666.783252314999</v>
      </c>
      <c r="B14" s="45" t="s">
        <v>634</v>
      </c>
      <c r="C14" s="45" t="s">
        <v>635</v>
      </c>
      <c r="D14" s="46" t="str">
        <f>HYPERLINK("https://tenderplus.kz/zakupki/43037728","Услуги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14" s="47">
        <v>4000000</v>
      </c>
      <c r="F14" s="103" t="str">
        <f>HYPERLINK("https://goszakup.gov.kz/ru/announce/index/13587998","Государственные закупки")</f>
        <v>Государственные закупки</v>
      </c>
      <c r="G14" s="105" t="s">
        <v>636</v>
      </c>
      <c r="H14" s="45" t="s">
        <v>637</v>
      </c>
      <c r="I14" s="85" t="s">
        <v>590</v>
      </c>
      <c r="J14" s="81" t="s">
        <v>638</v>
      </c>
      <c r="K14" s="17">
        <v>3950000</v>
      </c>
      <c r="L14" s="79">
        <f t="shared" si="0"/>
        <v>-1.2500000000000001E-2</v>
      </c>
    </row>
    <row r="15" spans="1:13" ht="43.5">
      <c r="A15" s="44">
        <v>45667.597094907003</v>
      </c>
      <c r="B15" s="45" t="s">
        <v>639</v>
      </c>
      <c r="C15" s="45" t="s">
        <v>640</v>
      </c>
      <c r="D15" s="46" t="str">
        <f>HYPERLINK("https://tenderplus.kz/zakupki/43053173","Услуги по обеспечению информационной безопасности")</f>
        <v>Услуги по обеспечению информационной безопасности</v>
      </c>
      <c r="E15" s="47">
        <v>108800550</v>
      </c>
      <c r="F15" s="103" t="str">
        <f>HYPERLINK("https://zakup.sk.kz/#/ext(popup:item/3879707/lot)","Самрук-Казына")</f>
        <v>Самрук-Казына</v>
      </c>
      <c r="G15" s="103" t="s">
        <v>216</v>
      </c>
      <c r="H15" s="45" t="s">
        <v>595</v>
      </c>
      <c r="I15" s="85" t="s">
        <v>604</v>
      </c>
      <c r="J15" s="18" t="s">
        <v>641</v>
      </c>
      <c r="K15" s="17">
        <v>108800550</v>
      </c>
      <c r="L15" s="79">
        <f t="shared" si="0"/>
        <v>0</v>
      </c>
    </row>
    <row r="16" spans="1:13" ht="33">
      <c r="A16" s="44">
        <v>45667.606863426001</v>
      </c>
      <c r="B16" s="45" t="s">
        <v>642</v>
      </c>
      <c r="C16" s="45" t="s">
        <v>643</v>
      </c>
      <c r="D16" s="46" t="str">
        <f>HYPERLINK("https://tenderplus.kz/zakupki/43054325","Услуги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16" s="47">
        <v>15300000</v>
      </c>
      <c r="F16" s="103" t="str">
        <f>HYPERLINK("https://goszakup.gov.kz/ru/announce/index/13598799","Государственные закупки")</f>
        <v>Государственные закупки</v>
      </c>
      <c r="G16" s="105" t="s">
        <v>644</v>
      </c>
      <c r="H16" s="45" t="s">
        <v>637</v>
      </c>
      <c r="I16" s="85" t="s">
        <v>590</v>
      </c>
      <c r="J16" s="17" t="s">
        <v>638</v>
      </c>
      <c r="K16" s="17">
        <v>15250000</v>
      </c>
      <c r="L16" s="79">
        <f t="shared" si="0"/>
        <v>-3.2679738562091504E-3</v>
      </c>
    </row>
    <row r="17" spans="1:13" ht="33">
      <c r="A17" s="44">
        <v>45670.375</v>
      </c>
      <c r="B17" s="45" t="s">
        <v>645</v>
      </c>
      <c r="C17" s="45" t="s">
        <v>646</v>
      </c>
      <c r="D17" s="46" t="str">
        <f>HYPERLINK("https://tenderplus.kz/zakupki/42936340","Услуги по обеспечению информационной безопасности")</f>
        <v>Услуги по обеспечению информационной безопасности</v>
      </c>
      <c r="E17" s="47">
        <v>40280750</v>
      </c>
      <c r="F17" s="103" t="str">
        <f>HYPERLINK("https://goszakup.gov.kz/ru/announce/index/13535959","Государственные закупки")</f>
        <v>Государственные закупки</v>
      </c>
      <c r="G17" s="105" t="s">
        <v>647</v>
      </c>
      <c r="H17" s="45" t="s">
        <v>595</v>
      </c>
      <c r="I17" s="85" t="s">
        <v>590</v>
      </c>
      <c r="J17" s="17" t="s">
        <v>549</v>
      </c>
      <c r="K17" s="17">
        <v>40250000</v>
      </c>
      <c r="L17" s="79">
        <f t="shared" si="0"/>
        <v>-7.6339194280146221E-4</v>
      </c>
    </row>
    <row r="18" spans="1:13" ht="33">
      <c r="A18" s="44">
        <v>45670.375</v>
      </c>
      <c r="B18" s="45" t="s">
        <v>648</v>
      </c>
      <c r="C18" s="45" t="s">
        <v>338</v>
      </c>
      <c r="D18" s="46" t="str">
        <f>HYPERLINK("https://tenderplus.kz/zakupki/42994892","Услуги информационного мониторинга")</f>
        <v>Услуги информационного мониторинга</v>
      </c>
      <c r="E18" s="47">
        <v>75000000</v>
      </c>
      <c r="F18" s="103" t="str">
        <f>HYPERLINK("https://goszakup.gov.kz/ru/announce/index/13555983","Государственные закупки")</f>
        <v>Государственные закупки</v>
      </c>
      <c r="G18" s="105" t="s">
        <v>649</v>
      </c>
      <c r="H18" s="45" t="s">
        <v>595</v>
      </c>
      <c r="I18" s="85" t="s">
        <v>590</v>
      </c>
      <c r="J18" s="17" t="s">
        <v>549</v>
      </c>
      <c r="K18" s="17">
        <v>66900000</v>
      </c>
      <c r="L18" s="79">
        <f t="shared" si="0"/>
        <v>-0.108</v>
      </c>
    </row>
    <row r="19" spans="1:13" ht="29.25">
      <c r="A19" s="44">
        <v>45670.471712963001</v>
      </c>
      <c r="B19" s="45" t="s">
        <v>650</v>
      </c>
      <c r="C19" s="45" t="s">
        <v>377</v>
      </c>
      <c r="D19" s="46" t="str">
        <f>HYPERLINK("https://tenderplus.kz/zakupki/43081034","Услуги по обеспечению информационной безопасности")</f>
        <v>Услуги по обеспечению информационной безопасности</v>
      </c>
      <c r="E19" s="47">
        <v>6004800</v>
      </c>
      <c r="F19" s="103" t="str">
        <f>HYPERLINK("https://zakup.sk.kz/#/ext(popup:item/3876177/lot)","Самрук-Казына")</f>
        <v>Самрук-Казына</v>
      </c>
      <c r="G19" s="103" t="s">
        <v>216</v>
      </c>
      <c r="H19" s="45" t="s">
        <v>595</v>
      </c>
      <c r="I19" s="85" t="s">
        <v>604</v>
      </c>
      <c r="J19" s="18" t="s">
        <v>651</v>
      </c>
      <c r="K19" s="17">
        <v>6004800</v>
      </c>
      <c r="L19" s="79">
        <f t="shared" si="0"/>
        <v>0</v>
      </c>
    </row>
    <row r="20" spans="1:13" ht="29.25">
      <c r="A20" s="44">
        <v>45670.761157407003</v>
      </c>
      <c r="B20" s="45" t="s">
        <v>652</v>
      </c>
      <c r="C20" s="45" t="s">
        <v>653</v>
      </c>
      <c r="D20" s="46" t="str">
        <f>HYPERLINK("https://tenderplus.kz/zakupki/43096760","Услуги по обеспечению информационной безопасности")</f>
        <v>Услуги по обеспечению информационной безопасности</v>
      </c>
      <c r="E20" s="47">
        <v>29426241.84</v>
      </c>
      <c r="F20" s="103" t="str">
        <f>HYPERLINK("https://zakup.sk.kz/#/ext(popup:item/3866925/lot)","Самрук-Казына")</f>
        <v>Самрук-Казына</v>
      </c>
      <c r="G20" s="103" t="s">
        <v>216</v>
      </c>
      <c r="H20" s="45" t="s">
        <v>589</v>
      </c>
      <c r="I20" s="85" t="s">
        <v>604</v>
      </c>
      <c r="J20" s="18" t="s">
        <v>630</v>
      </c>
      <c r="K20" s="17">
        <v>29426241.699999999</v>
      </c>
      <c r="L20" s="79">
        <f t="shared" si="0"/>
        <v>-4.7576581935699352E-9</v>
      </c>
    </row>
    <row r="21" spans="1:13" ht="33">
      <c r="A21" s="44">
        <v>45673.375</v>
      </c>
      <c r="B21" s="45" t="s">
        <v>654</v>
      </c>
      <c r="C21" s="45" t="s">
        <v>655</v>
      </c>
      <c r="D21" s="46" t="str">
        <f>HYPERLINK("https://tenderplus.kz/zakupki/43076616","Услуги по обеспечению информационной безопасности")</f>
        <v>Услуги по обеспечению информационной безопасности</v>
      </c>
      <c r="E21" s="47">
        <v>47061923.390000001</v>
      </c>
      <c r="F21" s="103" t="str">
        <f>HYPERLINK("https://goszakup.gov.kz/ru/announce/index/13595379","Государственные закупки")</f>
        <v>Государственные закупки</v>
      </c>
      <c r="G21" s="103" t="s">
        <v>216</v>
      </c>
      <c r="H21" s="45" t="s">
        <v>595</v>
      </c>
      <c r="I21" s="85" t="s">
        <v>590</v>
      </c>
      <c r="J21" s="17" t="s">
        <v>656</v>
      </c>
      <c r="K21" s="17">
        <v>40000000</v>
      </c>
      <c r="L21" s="79">
        <f t="shared" si="0"/>
        <v>-0.15005598754386143</v>
      </c>
    </row>
    <row r="22" spans="1:13" ht="33">
      <c r="A22" s="44">
        <v>45673.375</v>
      </c>
      <c r="B22" s="45" t="s">
        <v>657</v>
      </c>
      <c r="C22" s="45" t="s">
        <v>57</v>
      </c>
      <c r="D22" s="46" t="str">
        <f>HYPERLINK("https://tenderplus.kz/zakupki/43080594","Услуги по обеспечению информационной безопасности")</f>
        <v>Услуги по обеспечению информационной безопасности</v>
      </c>
      <c r="E22" s="47">
        <v>65833333</v>
      </c>
      <c r="F22" s="103" t="str">
        <f>HYPERLINK("https://goszakup.gov.kz/ru/announce/index/13567137","Государственные закупки")</f>
        <v>Государственные закупки</v>
      </c>
      <c r="G22" s="105" t="s">
        <v>392</v>
      </c>
      <c r="H22" s="45" t="s">
        <v>595</v>
      </c>
      <c r="I22" s="85" t="s">
        <v>590</v>
      </c>
      <c r="J22" s="17" t="s">
        <v>658</v>
      </c>
      <c r="K22" s="17">
        <v>65800000</v>
      </c>
      <c r="L22" s="79">
        <f t="shared" si="0"/>
        <v>-5.0632405319657751E-4</v>
      </c>
    </row>
    <row r="23" spans="1:13" ht="33">
      <c r="A23" s="44">
        <v>45673.610833332998</v>
      </c>
      <c r="B23" s="45" t="s">
        <v>659</v>
      </c>
      <c r="C23" s="45" t="s">
        <v>660</v>
      </c>
      <c r="D23" s="46" t="str">
        <f>HYPERLINK("https://tenderplus.kz/zakupki/43176729","Услуги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23" s="47">
        <v>2293760</v>
      </c>
      <c r="F23" s="103" t="str">
        <f>HYPERLINK("https://goszakup.gov.kz/ru/announce/index/13669422","Государственные закупки")</f>
        <v>Государственные закупки</v>
      </c>
      <c r="G23" s="105" t="s">
        <v>661</v>
      </c>
      <c r="H23" s="45" t="s">
        <v>662</v>
      </c>
      <c r="I23" s="85" t="s">
        <v>590</v>
      </c>
      <c r="J23" s="17" t="s">
        <v>663</v>
      </c>
      <c r="K23" s="17">
        <v>2283000</v>
      </c>
      <c r="L23" s="79">
        <f t="shared" si="0"/>
        <v>-4.690987723214286E-3</v>
      </c>
    </row>
    <row r="24" spans="1:13" ht="33">
      <c r="A24" s="44">
        <v>45674.375</v>
      </c>
      <c r="B24" s="45" t="s">
        <v>664</v>
      </c>
      <c r="C24" s="45" t="s">
        <v>665</v>
      </c>
      <c r="D24" s="46" t="str">
        <f>HYPERLINK("https://tenderplus.kz/zakupki/43084619","Услуги по обеспечению информационной безопасности")</f>
        <v>Услуги по обеспечению информационной безопасности</v>
      </c>
      <c r="E24" s="47">
        <v>28764285.719999999</v>
      </c>
      <c r="F24" s="103" t="str">
        <f>HYPERLINK("https://goszakup.gov.kz/ru/announce/index/13615499","Государственные закупки")</f>
        <v>Государственные закупки</v>
      </c>
      <c r="G24" s="103" t="s">
        <v>216</v>
      </c>
      <c r="H24" s="45" t="s">
        <v>662</v>
      </c>
      <c r="I24" s="85" t="s">
        <v>590</v>
      </c>
      <c r="J24" s="17" t="s">
        <v>549</v>
      </c>
      <c r="K24" s="17">
        <v>20135000</v>
      </c>
      <c r="L24" s="79">
        <f t="shared" si="0"/>
        <v>-0.30000000013906131</v>
      </c>
    </row>
    <row r="25" spans="1:13" ht="33">
      <c r="A25" s="44">
        <v>45674.672442130002</v>
      </c>
      <c r="B25" s="45" t="s">
        <v>666</v>
      </c>
      <c r="C25" s="45" t="s">
        <v>667</v>
      </c>
      <c r="D25" s="46" t="str">
        <f>HYPERLINK("https://tenderplus.kz/zakupki/43210803","Услуги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25" s="47">
        <v>4500000</v>
      </c>
      <c r="F25" s="103" t="str">
        <f>HYPERLINK("https://goszakup.gov.kz/ru/announce/index/13690745","Государственные закупки")</f>
        <v>Государственные закупки</v>
      </c>
      <c r="G25" s="105" t="s">
        <v>668</v>
      </c>
      <c r="H25" s="45" t="s">
        <v>637</v>
      </c>
      <c r="I25" s="85" t="s">
        <v>590</v>
      </c>
      <c r="J25" s="17" t="s">
        <v>638</v>
      </c>
      <c r="K25" s="17">
        <v>4450000</v>
      </c>
      <c r="L25" s="79">
        <f t="shared" si="0"/>
        <v>-1.1111111111111112E-2</v>
      </c>
    </row>
    <row r="26" spans="1:13" ht="29.25">
      <c r="A26" s="44">
        <v>45677.715381943999</v>
      </c>
      <c r="B26" s="45" t="s">
        <v>669</v>
      </c>
      <c r="C26" s="45" t="s">
        <v>670</v>
      </c>
      <c r="D26" s="46" t="str">
        <f>HYPERLINK("https://tenderplus.kz/zakupki/43254258","Услуги по обеспечению информационной безопасности")</f>
        <v>Услуги по обеспечению информационной безопасности</v>
      </c>
      <c r="E26" s="47">
        <v>16447880.279999999</v>
      </c>
      <c r="F26" s="103" t="str">
        <f>HYPERLINK("https://zakup.sk.kz/#/ext(popup:item/3880049/lot)","Самрук-Казына")</f>
        <v>Самрук-Казына</v>
      </c>
      <c r="G26" s="103" t="s">
        <v>216</v>
      </c>
      <c r="H26" s="45" t="s">
        <v>611</v>
      </c>
      <c r="I26" s="85" t="s">
        <v>604</v>
      </c>
      <c r="J26" s="18" t="s">
        <v>630</v>
      </c>
      <c r="K26" s="17">
        <v>16447880.279999999</v>
      </c>
      <c r="L26" s="79">
        <f t="shared" si="0"/>
        <v>0</v>
      </c>
    </row>
    <row r="27" spans="1:13" ht="33">
      <c r="A27" s="44">
        <v>45678.375</v>
      </c>
      <c r="B27" s="45" t="s">
        <v>671</v>
      </c>
      <c r="C27" s="45" t="s">
        <v>672</v>
      </c>
      <c r="D27" s="46" t="str">
        <f>HYPERLINK("https://tenderplus.kz/zakupki/43168355","Услуги по обеспечению информационной безопасности")</f>
        <v>Услуги по обеспечению информационной безопасности</v>
      </c>
      <c r="E27" s="47">
        <v>15034320</v>
      </c>
      <c r="F27" s="103" t="str">
        <f>HYPERLINK("https://goszakup.gov.kz/ru/announce/index/13664251","Государственные закупки")</f>
        <v>Государственные закупки</v>
      </c>
      <c r="G27" s="105" t="s">
        <v>673</v>
      </c>
      <c r="H27" s="45" t="s">
        <v>595</v>
      </c>
      <c r="I27" s="85" t="s">
        <v>590</v>
      </c>
      <c r="J27" s="17" t="s">
        <v>549</v>
      </c>
      <c r="K27" s="17">
        <v>8870248</v>
      </c>
      <c r="L27" s="79">
        <f t="shared" si="0"/>
        <v>-0.41000005321158522</v>
      </c>
    </row>
    <row r="28" spans="1:13" ht="33">
      <c r="A28" s="44">
        <v>45678.375</v>
      </c>
      <c r="B28" s="45" t="s">
        <v>674</v>
      </c>
      <c r="C28" s="45" t="s">
        <v>675</v>
      </c>
      <c r="D28" s="46" t="str">
        <f>HYPERLINK("https://tenderplus.kz/zakupki/43179505","Услуги по обеспечению информационной безопасности")</f>
        <v>Услуги по обеспечению информационной безопасности</v>
      </c>
      <c r="E28" s="47">
        <v>17501786</v>
      </c>
      <c r="F28" s="103" t="str">
        <f>HYPERLINK("https://goszakup.gov.kz/ru/announce/index/13670615","Государственные закупки")</f>
        <v>Государственные закупки</v>
      </c>
      <c r="G28" s="105" t="s">
        <v>676</v>
      </c>
      <c r="H28" s="45" t="s">
        <v>677</v>
      </c>
      <c r="I28" s="85" t="s">
        <v>590</v>
      </c>
      <c r="J28" s="18" t="s">
        <v>678</v>
      </c>
      <c r="K28" s="17">
        <v>17400000</v>
      </c>
      <c r="L28" s="79">
        <f t="shared" si="0"/>
        <v>-5.8157493183838499E-3</v>
      </c>
    </row>
    <row r="29" spans="1:13" ht="144.75">
      <c r="A29" s="44">
        <v>45678.416666666999</v>
      </c>
      <c r="B29" s="45" t="s">
        <v>679</v>
      </c>
      <c r="C29" s="45" t="s">
        <v>680</v>
      </c>
      <c r="D29" s="46" t="str">
        <f>HYPERLINK("https://tenderplus.kz/zakupki/43065426","Услуги по обеспечению информационной безопасности")</f>
        <v>Услуги по обеспечению информационной безопасности</v>
      </c>
      <c r="E29" s="47">
        <v>978381250</v>
      </c>
      <c r="F29" s="103" t="str">
        <f>HYPERLINK("https://zakup.sk.kz/#/ext(popup:item/3895979/lot)","Самрук-Казына")</f>
        <v>Самрук-Казына</v>
      </c>
      <c r="G29" s="105" t="s">
        <v>681</v>
      </c>
      <c r="H29" s="45" t="s">
        <v>603</v>
      </c>
      <c r="I29" s="85" t="s">
        <v>590</v>
      </c>
      <c r="J29" s="17" t="s">
        <v>682</v>
      </c>
      <c r="K29" s="17">
        <v>977381250</v>
      </c>
      <c r="L29" s="79">
        <f t="shared" si="0"/>
        <v>-1.0220964475760343E-3</v>
      </c>
    </row>
    <row r="30" spans="1:13" ht="33">
      <c r="A30" s="44">
        <v>45679.375</v>
      </c>
      <c r="B30" s="45" t="s">
        <v>683</v>
      </c>
      <c r="C30" s="45" t="s">
        <v>684</v>
      </c>
      <c r="D30" s="46" t="str">
        <f>HYPERLINK("https://tenderplus.kz/zakupki/43260714","Услуги по обеспечению информационной безопасности")</f>
        <v>Услуги по обеспечению информационной безопасности</v>
      </c>
      <c r="E30" s="47">
        <v>5388000</v>
      </c>
      <c r="F30" s="103" t="str">
        <f>HYPERLINK("https://zakup.nationalbank.kz/ru/publics/lot/166654","ЭТП «Национальный Банк»")</f>
        <v>ЭТП «Национальный Банк»</v>
      </c>
      <c r="G30" s="103" t="s">
        <v>216</v>
      </c>
      <c r="H30" s="45" t="s">
        <v>589</v>
      </c>
      <c r="I30" s="85" t="s">
        <v>604</v>
      </c>
      <c r="J30" s="17" t="s">
        <v>549</v>
      </c>
      <c r="K30" s="17">
        <v>4910714.29</v>
      </c>
      <c r="L30" s="79">
        <f t="shared" si="0"/>
        <v>-8.8583093912397909E-2</v>
      </c>
    </row>
    <row r="31" spans="1:13" ht="29.25">
      <c r="A31" s="44">
        <v>45679.625034721998</v>
      </c>
      <c r="B31" s="45" t="s">
        <v>685</v>
      </c>
      <c r="C31" s="45" t="s">
        <v>686</v>
      </c>
      <c r="D31" s="46" t="str">
        <f>HYPERLINK("https://tenderplus.kz/zakupki/43302671","Услуги по обеспечению информационной безопасности")</f>
        <v>Услуги по обеспечению информационной безопасности</v>
      </c>
      <c r="E31" s="47">
        <v>136605641.62</v>
      </c>
      <c r="F31" s="103" t="str">
        <f>HYPERLINK("https://zakup.sk.kz/#/ext(popup:item/3884024/lot)","Самрук-Казына")</f>
        <v>Самрук-Казына</v>
      </c>
      <c r="G31" s="103" t="s">
        <v>216</v>
      </c>
      <c r="H31" s="45" t="s">
        <v>595</v>
      </c>
      <c r="I31" s="85" t="s">
        <v>604</v>
      </c>
      <c r="J31" s="18" t="s">
        <v>630</v>
      </c>
      <c r="K31" s="17">
        <v>136605641.62</v>
      </c>
      <c r="L31" s="79">
        <f t="shared" si="0"/>
        <v>0</v>
      </c>
      <c r="M31" t="s">
        <v>528</v>
      </c>
    </row>
    <row r="32" spans="1:13" ht="33">
      <c r="A32" s="44">
        <v>45680.375</v>
      </c>
      <c r="B32" s="45" t="s">
        <v>687</v>
      </c>
      <c r="C32" s="45" t="s">
        <v>688</v>
      </c>
      <c r="D32" s="46" t="str">
        <f>HYPERLINK("https://tenderplus.kz/zakupki/43244203","Услуги по обеспечению информационной безопасности")</f>
        <v>Услуги по обеспечению информационной безопасности</v>
      </c>
      <c r="E32" s="47">
        <v>8000000</v>
      </c>
      <c r="F32" s="103" t="str">
        <f>HYPERLINK("https://goszakup.gov.kz/ru/announce/index/13684249","Государственные закупки")</f>
        <v>Государственные закупки</v>
      </c>
      <c r="G32" s="103" t="s">
        <v>216</v>
      </c>
      <c r="H32" s="45" t="s">
        <v>595</v>
      </c>
      <c r="I32" s="85" t="s">
        <v>590</v>
      </c>
      <c r="J32" s="17" t="s">
        <v>689</v>
      </c>
      <c r="K32" s="17">
        <v>5500000</v>
      </c>
      <c r="L32" s="79">
        <f t="shared" si="0"/>
        <v>-0.3125</v>
      </c>
    </row>
    <row r="33" spans="1:12" ht="33">
      <c r="A33" s="44">
        <v>45680.375</v>
      </c>
      <c r="B33" s="45" t="s">
        <v>690</v>
      </c>
      <c r="C33" s="45" t="s">
        <v>691</v>
      </c>
      <c r="D33" s="46" t="str">
        <f>HYPERLINK("https://tenderplus.kz/zakupki/43247792","Услуги по обеспечению информационной безопасности")</f>
        <v>Услуги по обеспечению информационной безопасности</v>
      </c>
      <c r="E33" s="47">
        <v>29464285.710000001</v>
      </c>
      <c r="F33" s="103" t="str">
        <f>HYPERLINK("https://goszakup.gov.kz/ru/announce/index/13709232","Государственные закупки")</f>
        <v>Государственные закупки</v>
      </c>
      <c r="G33" s="103" t="s">
        <v>216</v>
      </c>
      <c r="H33" s="45" t="s">
        <v>589</v>
      </c>
      <c r="I33" s="85" t="s">
        <v>590</v>
      </c>
      <c r="J33" s="17" t="s">
        <v>692</v>
      </c>
      <c r="K33" s="17">
        <v>29464000</v>
      </c>
      <c r="L33" s="79">
        <f t="shared" si="0"/>
        <v>-9.6968242438650333E-6</v>
      </c>
    </row>
    <row r="34" spans="1:12" ht="72.75">
      <c r="A34" s="44">
        <v>45680.375</v>
      </c>
      <c r="B34" s="45" t="s">
        <v>693</v>
      </c>
      <c r="C34" s="45" t="s">
        <v>694</v>
      </c>
      <c r="D34" s="46" t="str">
        <f>HYPERLINK("https://tenderplus.kz/zakupki/43244779","Услуги информационного мониторинга")</f>
        <v>Услуги информационного мониторинга</v>
      </c>
      <c r="E34" s="47">
        <v>53635713.420000002</v>
      </c>
      <c r="F34" s="103" t="str">
        <f>HYPERLINK("https://goszakup.gov.kz/ru/announce/index/13711147","Государственные закупки")</f>
        <v>Государственные закупки</v>
      </c>
      <c r="G34" s="105" t="s">
        <v>695</v>
      </c>
      <c r="H34" s="45" t="s">
        <v>696</v>
      </c>
      <c r="I34" s="85" t="s">
        <v>590</v>
      </c>
      <c r="J34" s="18" t="s">
        <v>697</v>
      </c>
      <c r="K34" s="17">
        <v>53635713.420000002</v>
      </c>
      <c r="L34" s="79">
        <f t="shared" si="0"/>
        <v>0</v>
      </c>
    </row>
    <row r="35" spans="1:12" ht="33">
      <c r="A35" s="44">
        <v>45681.375</v>
      </c>
      <c r="B35" s="45" t="s">
        <v>698</v>
      </c>
      <c r="C35" s="45" t="s">
        <v>699</v>
      </c>
      <c r="D35" s="46" t="str">
        <f>HYPERLINK("https://tenderplus.kz/zakupki/43251503","Услуги по обеспечению информационной безопасности")</f>
        <v>Услуги по обеспечению информационной безопасности</v>
      </c>
      <c r="E35" s="47">
        <v>20697504</v>
      </c>
      <c r="F35" s="103" t="str">
        <f>HYPERLINK("https://goszakup.gov.kz/ru/announce/index/13714555","Государственные закупки")</f>
        <v>Государственные закупки</v>
      </c>
      <c r="G35" s="105" t="s">
        <v>700</v>
      </c>
      <c r="H35" s="45" t="s">
        <v>701</v>
      </c>
      <c r="I35" s="85" t="s">
        <v>590</v>
      </c>
      <c r="J35" s="17" t="s">
        <v>541</v>
      </c>
      <c r="K35" s="17">
        <v>18199900</v>
      </c>
      <c r="L35" s="79">
        <f t="shared" si="0"/>
        <v>-0.12067174863210559</v>
      </c>
    </row>
    <row r="36" spans="1:12" ht="33">
      <c r="A36" s="44">
        <v>45681.375</v>
      </c>
      <c r="B36" s="45" t="s">
        <v>702</v>
      </c>
      <c r="C36" s="45" t="s">
        <v>703</v>
      </c>
      <c r="D36" s="46" t="str">
        <f>HYPERLINK("https://tenderplus.kz/zakupki/43211172","Услуги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36" s="47">
        <v>280000000</v>
      </c>
      <c r="F36" s="103" t="str">
        <f>HYPERLINK("https://goszakup.gov.kz/ru/announce/index/13689535","Государственные закупки")</f>
        <v>Государственные закупки</v>
      </c>
      <c r="G36" s="105" t="s">
        <v>704</v>
      </c>
      <c r="H36" s="45" t="s">
        <v>595</v>
      </c>
      <c r="I36" s="85" t="s">
        <v>705</v>
      </c>
      <c r="J36" s="17" t="s">
        <v>232</v>
      </c>
      <c r="K36" s="17"/>
      <c r="L36" s="79"/>
    </row>
    <row r="37" spans="1:12" ht="43.5">
      <c r="A37" s="44">
        <v>45684.375</v>
      </c>
      <c r="B37" s="45" t="s">
        <v>706</v>
      </c>
      <c r="C37" s="45" t="s">
        <v>707</v>
      </c>
      <c r="D37" s="46" t="str">
        <f>HYPERLINK("https://tenderplus.kz/zakupki/43301074","Услуги по обеспечению информационной безопасности")</f>
        <v>Услуги по обеспечению информационной безопасности</v>
      </c>
      <c r="E37" s="47">
        <v>4546080</v>
      </c>
      <c r="F37" s="103" t="str">
        <f>HYPERLINK("https://goszakup.gov.kz/ru/announce/index/13741968","Государственные закупки")</f>
        <v>Государственные закупки</v>
      </c>
      <c r="G37" s="105" t="s">
        <v>708</v>
      </c>
      <c r="H37" s="45" t="s">
        <v>603</v>
      </c>
      <c r="I37" s="85" t="s">
        <v>590</v>
      </c>
      <c r="J37" s="18" t="s">
        <v>709</v>
      </c>
      <c r="K37" s="17">
        <v>3750516</v>
      </c>
      <c r="L37" s="79">
        <f t="shared" si="0"/>
        <v>-0.17499999999999999</v>
      </c>
    </row>
    <row r="38" spans="1:12" ht="16.5">
      <c r="A38" s="44">
        <v>45684.500752314998</v>
      </c>
      <c r="B38" s="45" t="s">
        <v>710</v>
      </c>
      <c r="C38" s="45" t="s">
        <v>496</v>
      </c>
      <c r="D38" s="46" t="str">
        <f>HYPERLINK("https://tenderplus.kz/zakupki/43353893","Услуги по обеспечению информационной безопасности")</f>
        <v>Услуги по обеспечению информационной безопасности</v>
      </c>
      <c r="E38" s="47">
        <v>25540000</v>
      </c>
      <c r="F38" s="103" t="str">
        <f>HYPERLINK("https://zakup.sk.kz/#/ext(popup:item/3897736/lot)","Самрук-Казына")</f>
        <v>Самрук-Казына</v>
      </c>
      <c r="G38" s="103" t="s">
        <v>216</v>
      </c>
      <c r="H38" s="45" t="s">
        <v>595</v>
      </c>
      <c r="I38" s="85" t="s">
        <v>604</v>
      </c>
      <c r="J38" s="17" t="s">
        <v>232</v>
      </c>
      <c r="K38" s="17"/>
      <c r="L38" s="79"/>
    </row>
    <row r="39" spans="1:12" ht="33">
      <c r="A39" s="44">
        <v>45684.819050926002</v>
      </c>
      <c r="B39" s="45" t="s">
        <v>711</v>
      </c>
      <c r="C39" s="45" t="s">
        <v>712</v>
      </c>
      <c r="D39" s="46" t="str">
        <f>HYPERLINK("https://tenderplus.kz/zakupki/43377751","Услуги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39" s="47">
        <v>10530000</v>
      </c>
      <c r="F39" s="103" t="str">
        <f>HYPERLINK("https://goszakup.gov.kz/ru/announce/index/13788734","Государственные закупки")</f>
        <v>Государственные закупки</v>
      </c>
      <c r="G39" s="109" t="s">
        <v>713</v>
      </c>
      <c r="H39" s="45" t="s">
        <v>589</v>
      </c>
      <c r="I39" s="85" t="s">
        <v>590</v>
      </c>
      <c r="J39" s="17" t="s">
        <v>541</v>
      </c>
      <c r="K39" s="17">
        <v>7897500</v>
      </c>
      <c r="L39" s="79">
        <f t="shared" si="0"/>
        <v>-0.25</v>
      </c>
    </row>
    <row r="40" spans="1:12" ht="57.75">
      <c r="A40" s="44">
        <v>45685.375</v>
      </c>
      <c r="B40" s="45" t="s">
        <v>714</v>
      </c>
      <c r="C40" s="45" t="s">
        <v>715</v>
      </c>
      <c r="D40" s="46" t="str">
        <f>HYPERLINK("https://tenderplus.kz/zakupki/43322180","Услуги по обеспечению информационной безопасности")</f>
        <v>Услуги по обеспечению информационной безопасности</v>
      </c>
      <c r="E40" s="47">
        <v>15500000</v>
      </c>
      <c r="F40" s="103" t="str">
        <f>HYPERLINK("https://goszakup.gov.kz/ru/announce/index/13754175","Государственные закупки")</f>
        <v>Государственные закупки</v>
      </c>
      <c r="G40" s="105" t="s">
        <v>716</v>
      </c>
      <c r="H40" s="45" t="s">
        <v>595</v>
      </c>
      <c r="I40" s="85" t="s">
        <v>590</v>
      </c>
      <c r="J40" s="17" t="s">
        <v>615</v>
      </c>
      <c r="K40" s="17">
        <v>10000000</v>
      </c>
      <c r="L40" s="79">
        <f t="shared" si="0"/>
        <v>-0.35483870967741937</v>
      </c>
    </row>
    <row r="41" spans="1:12" ht="82.5">
      <c r="A41" s="44">
        <v>45686.375</v>
      </c>
      <c r="B41" s="45" t="s">
        <v>717</v>
      </c>
      <c r="C41" s="45" t="s">
        <v>718</v>
      </c>
      <c r="D41" s="103" t="s">
        <v>719</v>
      </c>
      <c r="E41" s="47">
        <v>21600000</v>
      </c>
      <c r="F41" s="103" t="str">
        <f>HYPERLINK("https://goszakup.gov.kz/ru/announce/index/13758047","Государственные закупки")</f>
        <v>Государственные закупки</v>
      </c>
      <c r="G41" s="105" t="s">
        <v>720</v>
      </c>
      <c r="H41" s="45" t="s">
        <v>595</v>
      </c>
      <c r="I41" s="85" t="s">
        <v>590</v>
      </c>
      <c r="J41" s="17" t="s">
        <v>615</v>
      </c>
      <c r="K41" s="17">
        <v>21600000</v>
      </c>
      <c r="L41" s="79">
        <f t="shared" si="0"/>
        <v>0</v>
      </c>
    </row>
    <row r="42" spans="1:12" ht="33">
      <c r="A42" s="44">
        <v>45686.708564815002</v>
      </c>
      <c r="B42" s="45" t="s">
        <v>721</v>
      </c>
      <c r="C42" s="45" t="s">
        <v>722</v>
      </c>
      <c r="D42" s="46" t="str">
        <f>HYPERLINK("https://tenderplus.kz/zakupki/43446564","Услуги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42" s="47">
        <v>6300000</v>
      </c>
      <c r="F42" s="103" t="str">
        <f>HYPERLINK("https://goszakup.gov.kz/ru/announce/index/13823131","Государственные закупки")</f>
        <v>Государственные закупки</v>
      </c>
      <c r="G42" s="103" t="s">
        <v>216</v>
      </c>
      <c r="H42" s="45" t="s">
        <v>637</v>
      </c>
      <c r="I42" s="85" t="s">
        <v>590</v>
      </c>
      <c r="J42" s="17" t="s">
        <v>638</v>
      </c>
      <c r="K42" s="17">
        <v>6250000</v>
      </c>
      <c r="L42" s="79">
        <f t="shared" si="0"/>
        <v>-7.9365079365079361E-3</v>
      </c>
    </row>
    <row r="43" spans="1:12" ht="33">
      <c r="A43" s="44">
        <v>45688.375</v>
      </c>
      <c r="B43" s="45" t="s">
        <v>683</v>
      </c>
      <c r="C43" s="45" t="s">
        <v>684</v>
      </c>
      <c r="D43" s="46" t="str">
        <f>HYPERLINK("https://tenderplus.kz/zakupki/43473982","Услуги по обеспечению информационной безопасности")</f>
        <v>Услуги по обеспечению информационной безопасности</v>
      </c>
      <c r="E43" s="47">
        <v>5388000</v>
      </c>
      <c r="F43" s="103" t="str">
        <f>HYPERLINK("https://zakup.nationalbank.kz/ru/publics/lot/169309","ЭТП «Национальный Банк»")</f>
        <v>ЭТП «Национальный Банк»</v>
      </c>
      <c r="G43" s="105" t="s">
        <v>723</v>
      </c>
      <c r="H43" s="45" t="s">
        <v>589</v>
      </c>
      <c r="I43" s="85" t="s">
        <v>604</v>
      </c>
      <c r="J43" s="17" t="s">
        <v>541</v>
      </c>
      <c r="K43" s="17">
        <v>4910714.29</v>
      </c>
      <c r="L43" s="79">
        <f t="shared" si="0"/>
        <v>-8.8583093912397909E-2</v>
      </c>
    </row>
    <row r="44" spans="1:12" ht="16.5">
      <c r="A44" s="44">
        <v>45688.708333333001</v>
      </c>
      <c r="B44" s="45" t="s">
        <v>606</v>
      </c>
      <c r="C44" s="45" t="s">
        <v>607</v>
      </c>
      <c r="D44" s="46" t="str">
        <f>HYPERLINK("https://tenderplus.kz/zakupki/43471568","Услуги по обеспечению информационной безопасности")</f>
        <v>Услуги по обеспечению информационной безопасности</v>
      </c>
      <c r="E44" s="47">
        <v>80000160</v>
      </c>
      <c r="F44" s="103" t="str">
        <f>HYPERLINK("https://eep.mitwork.kz/ru/publics/lot/509437","Mitwork")</f>
        <v>Mitwork</v>
      </c>
      <c r="G44" s="103" t="s">
        <v>216</v>
      </c>
      <c r="H44" s="45" t="s">
        <v>603</v>
      </c>
      <c r="I44" s="85" t="s">
        <v>604</v>
      </c>
      <c r="J44" s="17" t="s">
        <v>232</v>
      </c>
      <c r="K44" s="17"/>
      <c r="L44" s="79"/>
    </row>
    <row r="45" spans="1:12" ht="33">
      <c r="A45" s="44">
        <v>45691.375</v>
      </c>
      <c r="B45" s="45" t="s">
        <v>724</v>
      </c>
      <c r="C45" s="45" t="s">
        <v>435</v>
      </c>
      <c r="D45" s="46" t="str">
        <f>HYPERLINK("https://tenderplus.kz/zakupki/43428099","Услуги по обеспечению информационной безопасности")</f>
        <v>Услуги по обеспечению информационной безопасности</v>
      </c>
      <c r="E45" s="47">
        <v>6346428.5700000003</v>
      </c>
      <c r="F45" s="103" t="str">
        <f>HYPERLINK("https://goszakup.gov.kz/ru/announce/index/13813137","Государственные закупки")</f>
        <v>Государственные закупки</v>
      </c>
      <c r="G45" s="105" t="s">
        <v>725</v>
      </c>
      <c r="H45" s="45" t="s">
        <v>726</v>
      </c>
      <c r="I45" s="85" t="s">
        <v>590</v>
      </c>
      <c r="J45" s="18" t="s">
        <v>470</v>
      </c>
      <c r="K45" s="17">
        <v>6346428.5700000003</v>
      </c>
      <c r="L45" s="79">
        <f t="shared" si="0"/>
        <v>0</v>
      </c>
    </row>
    <row r="46" spans="1:12" ht="33">
      <c r="A46" s="44">
        <v>45691.384409721999</v>
      </c>
      <c r="B46" s="45" t="s">
        <v>727</v>
      </c>
      <c r="C46" s="45" t="s">
        <v>728</v>
      </c>
      <c r="D46" s="46" t="str">
        <f>HYPERLINK("https://tenderplus.kz/zakupki/43520143","Услуги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46" s="47">
        <v>4990464</v>
      </c>
      <c r="F46" s="103" t="str">
        <f>HYPERLINK("https://goszakup.gov.kz/ru/announce/index/13859248","Государственные закупки")</f>
        <v>Государственные закупки</v>
      </c>
      <c r="G46" s="105" t="s">
        <v>729</v>
      </c>
      <c r="H46" s="45" t="s">
        <v>730</v>
      </c>
      <c r="I46" s="85" t="s">
        <v>590</v>
      </c>
      <c r="J46" s="17" t="s">
        <v>541</v>
      </c>
      <c r="K46" s="17">
        <v>4990464</v>
      </c>
      <c r="L46" s="79">
        <f t="shared" si="0"/>
        <v>0</v>
      </c>
    </row>
    <row r="47" spans="1:12" ht="33">
      <c r="A47" s="44">
        <v>45691.38443287</v>
      </c>
      <c r="B47" s="45" t="s">
        <v>727</v>
      </c>
      <c r="C47" s="45" t="s">
        <v>728</v>
      </c>
      <c r="D47" s="46" t="str">
        <f>HYPERLINK("https://tenderplus.kz/zakupki/43520142","Услуги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47" s="47">
        <v>8461607.1400000006</v>
      </c>
      <c r="F47" s="103" t="str">
        <f>HYPERLINK("https://goszakup.gov.kz/ru/announce/index/13859246","Государственные закупки")</f>
        <v>Государственные закупки</v>
      </c>
      <c r="G47" s="105" t="s">
        <v>731</v>
      </c>
      <c r="H47" s="45" t="s">
        <v>730</v>
      </c>
      <c r="I47" s="85" t="s">
        <v>590</v>
      </c>
      <c r="J47" s="18" t="s">
        <v>470</v>
      </c>
      <c r="K47" s="17">
        <v>8461607.1400000006</v>
      </c>
      <c r="L47" s="79">
        <f t="shared" si="0"/>
        <v>0</v>
      </c>
    </row>
    <row r="48" spans="1:12" ht="57.75">
      <c r="A48" s="44">
        <v>45692.375</v>
      </c>
      <c r="B48" s="45" t="s">
        <v>724</v>
      </c>
      <c r="C48" s="102" t="s">
        <v>435</v>
      </c>
      <c r="D48" s="46" t="str">
        <f>HYPERLINK("https://tenderplus.kz/zakupki/43461032","Услуги по обеспечению информационной безопасности")</f>
        <v>Услуги по обеспечению информационной безопасности</v>
      </c>
      <c r="E48" s="47">
        <v>7097500</v>
      </c>
      <c r="F48" s="103" t="str">
        <f>HYPERLINK("https://goszakup.gov.kz/ru/announce/index/13830877","Государственные закупки")</f>
        <v>Государственные закупки</v>
      </c>
      <c r="G48" s="105" t="s">
        <v>725</v>
      </c>
      <c r="H48" s="45" t="s">
        <v>726</v>
      </c>
      <c r="I48" s="85" t="s">
        <v>590</v>
      </c>
      <c r="J48" s="17" t="s">
        <v>541</v>
      </c>
      <c r="K48" s="17">
        <v>7090000</v>
      </c>
      <c r="L48" s="79">
        <f t="shared" si="0"/>
        <v>-1.0567101091933778E-3</v>
      </c>
    </row>
    <row r="49" spans="1:13" ht="57.75">
      <c r="A49" s="44">
        <v>45693.621006943999</v>
      </c>
      <c r="B49" s="45" t="s">
        <v>631</v>
      </c>
      <c r="C49" s="102" t="s">
        <v>632</v>
      </c>
      <c r="D49" s="46" t="str">
        <f>HYPERLINK("https://tenderplus.kz/zakupki/43594270","Услуги по обеспечению информационной безопасности")</f>
        <v>Услуги по обеспечению информационной безопасности</v>
      </c>
      <c r="E49" s="47">
        <v>15010800</v>
      </c>
      <c r="F49" s="103" t="str">
        <f>HYPERLINK("https://zakup.sk.kz/#/ext(popup:item/3870046/lot)","Самрук-Казына")</f>
        <v>Самрук-Казына</v>
      </c>
      <c r="G49" s="103" t="s">
        <v>216</v>
      </c>
      <c r="H49" s="45" t="s">
        <v>633</v>
      </c>
      <c r="I49" s="85" t="s">
        <v>604</v>
      </c>
      <c r="J49" s="18" t="s">
        <v>249</v>
      </c>
      <c r="K49" s="17">
        <v>15010800</v>
      </c>
      <c r="L49" s="79">
        <f t="shared" si="0"/>
        <v>0</v>
      </c>
    </row>
    <row r="50" spans="1:13" ht="57.75">
      <c r="A50" s="44">
        <v>45694.750150462998</v>
      </c>
      <c r="B50" s="45" t="s">
        <v>732</v>
      </c>
      <c r="C50" s="45" t="s">
        <v>733</v>
      </c>
      <c r="D50" s="46" t="str">
        <f>HYPERLINK("https://tenderplus.kz/zakupki/43645066","Услуги по обеспечению информационной безопасности")</f>
        <v>Услуги по обеспечению информационной безопасности</v>
      </c>
      <c r="E50" s="47">
        <v>1173537225.6400001</v>
      </c>
      <c r="F50" s="103" t="str">
        <f>HYPERLINK("https://zakup.sk.kz/#/ext(popup:item/3864583/lot)","Самрук-Казына")</f>
        <v>Самрук-Казына</v>
      </c>
      <c r="G50" s="103" t="s">
        <v>216</v>
      </c>
      <c r="H50" s="45" t="s">
        <v>595</v>
      </c>
      <c r="I50" s="85" t="s">
        <v>604</v>
      </c>
      <c r="J50" s="18" t="s">
        <v>249</v>
      </c>
      <c r="K50" s="17">
        <v>1173537225.6400001</v>
      </c>
      <c r="L50" s="79">
        <f t="shared" si="0"/>
        <v>0</v>
      </c>
      <c r="M50" t="s">
        <v>528</v>
      </c>
    </row>
    <row r="51" spans="1:13" ht="57.75">
      <c r="A51" s="44">
        <v>45694.757916666997</v>
      </c>
      <c r="B51" s="45" t="s">
        <v>685</v>
      </c>
      <c r="C51" s="45" t="s">
        <v>686</v>
      </c>
      <c r="D51" s="46" t="str">
        <f>HYPERLINK("https://tenderplus.kz/zakupki/43644994","Услуги по обеспечению информационной безопасности")</f>
        <v>Услуги по обеспечению информационной безопасности</v>
      </c>
      <c r="E51" s="47">
        <v>312399173.13999999</v>
      </c>
      <c r="F51" s="103" t="str">
        <f>HYPERLINK("https://zakup.sk.kz/#/ext(popup:item/3913596/lot)","Самрук-Казына")</f>
        <v>Самрук-Казына</v>
      </c>
      <c r="G51" s="103" t="s">
        <v>216</v>
      </c>
      <c r="H51" s="45" t="s">
        <v>595</v>
      </c>
      <c r="I51" s="85" t="s">
        <v>604</v>
      </c>
      <c r="J51" s="18" t="s">
        <v>249</v>
      </c>
      <c r="K51" s="17">
        <v>312399173.13999999</v>
      </c>
      <c r="L51" s="79">
        <f t="shared" si="0"/>
        <v>0</v>
      </c>
    </row>
    <row r="52" spans="1:13" ht="43.5">
      <c r="A52" s="44">
        <v>45698.375</v>
      </c>
      <c r="B52" s="45" t="s">
        <v>734</v>
      </c>
      <c r="C52" s="45" t="s">
        <v>735</v>
      </c>
      <c r="D52" s="46" t="str">
        <f>HYPERLINK("https://tenderplus.kz/zakupki/43576166","Услуги по обеспечению информационной безопасности")</f>
        <v>Услуги по обеспечению информационной безопасности</v>
      </c>
      <c r="E52" s="47">
        <v>21000000</v>
      </c>
      <c r="F52" s="103" t="str">
        <f>HYPERLINK("https://goszakup.gov.kz/ru/announce/index/13886803","Государственные закупки")</f>
        <v>Государственные закупки</v>
      </c>
      <c r="G52" s="105" t="s">
        <v>736</v>
      </c>
      <c r="H52" s="45" t="s">
        <v>595</v>
      </c>
      <c r="I52" s="85" t="s">
        <v>590</v>
      </c>
      <c r="J52" s="18" t="s">
        <v>478</v>
      </c>
      <c r="K52" s="17">
        <v>15757536</v>
      </c>
      <c r="L52" s="79">
        <f t="shared" si="0"/>
        <v>-0.24964114285714287</v>
      </c>
    </row>
    <row r="53" spans="1:13" ht="33">
      <c r="A53" s="44">
        <v>45698.375</v>
      </c>
      <c r="B53" s="45" t="s">
        <v>737</v>
      </c>
      <c r="C53" s="45" t="s">
        <v>738</v>
      </c>
      <c r="D53" s="46" t="str">
        <f>HYPERLINK("https://tenderplus.kz/zakupki/43604673","Услуги по обеспечению информационной безопасности")</f>
        <v>Услуги по обеспечению информационной безопасности</v>
      </c>
      <c r="E53" s="47">
        <v>61567857.140000001</v>
      </c>
      <c r="F53" s="103" t="str">
        <f>HYPERLINK("https://goszakup.gov.kz/ru/announce/index/13898360","Государственные закупки")</f>
        <v>Государственные закупки</v>
      </c>
      <c r="G53" s="105" t="s">
        <v>739</v>
      </c>
      <c r="H53" s="45" t="s">
        <v>595</v>
      </c>
      <c r="I53" s="85" t="s">
        <v>590</v>
      </c>
      <c r="J53" s="17" t="s">
        <v>541</v>
      </c>
      <c r="K53" s="17">
        <v>33554482.140000001</v>
      </c>
      <c r="L53" s="79">
        <f t="shared" si="0"/>
        <v>-0.4550000000211149</v>
      </c>
    </row>
    <row r="54" spans="1:13" ht="33">
      <c r="A54" s="44">
        <v>45699.375</v>
      </c>
      <c r="B54" s="45" t="s">
        <v>740</v>
      </c>
      <c r="C54" s="45" t="s">
        <v>741</v>
      </c>
      <c r="D54" s="46" t="str">
        <f>HYPERLINK("https://tenderplus.kz/zakupki/43580386","Услуги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54" s="47">
        <v>0</v>
      </c>
      <c r="F54" s="103" t="str">
        <f>HYPERLINK("https://goszakup.gov.kz/ru/announce/index/13889600","Государственные закупки")</f>
        <v>Государственные закупки</v>
      </c>
      <c r="G54" s="103" t="s">
        <v>216</v>
      </c>
      <c r="H54" s="45" t="s">
        <v>742</v>
      </c>
      <c r="I54" s="85" t="s">
        <v>590</v>
      </c>
      <c r="J54" s="17"/>
      <c r="K54" s="17"/>
      <c r="L54" s="79"/>
    </row>
    <row r="55" spans="1:13" ht="16.5">
      <c r="A55" s="44">
        <v>45699.416666666999</v>
      </c>
      <c r="B55" s="45" t="s">
        <v>743</v>
      </c>
      <c r="C55" s="45" t="s">
        <v>744</v>
      </c>
      <c r="D55" s="46" t="str">
        <f>HYPERLINK("https://tenderplus.kz/zakupki/43489597","Услуги по обеспечению информационной безопасности")</f>
        <v>Услуги по обеспечению информационной безопасности</v>
      </c>
      <c r="E55" s="47">
        <v>47620000</v>
      </c>
      <c r="F55" s="103" t="str">
        <f>HYPERLINK("https://zakup.sk.kz/#/ext(popup:item/3925519/lot)","Самрук-Казына")</f>
        <v>Самрук-Казына</v>
      </c>
      <c r="G55" s="103" t="s">
        <v>216</v>
      </c>
      <c r="H55" s="45" t="s">
        <v>595</v>
      </c>
      <c r="I55" s="85" t="s">
        <v>590</v>
      </c>
      <c r="J55" s="17" t="s">
        <v>745</v>
      </c>
      <c r="K55" s="17">
        <v>47000000</v>
      </c>
      <c r="L55" s="79">
        <f t="shared" si="0"/>
        <v>-1.3019739605207897E-2</v>
      </c>
    </row>
    <row r="56" spans="1:13" ht="201.75">
      <c r="A56" s="44">
        <v>45700.375</v>
      </c>
      <c r="B56" s="45" t="s">
        <v>746</v>
      </c>
      <c r="C56" s="102" t="s">
        <v>236</v>
      </c>
      <c r="D56" s="46" t="str">
        <f>HYPERLINK("https://tenderplus.kz/zakupki/43598468","Услуги по обеспечению информационной безопасности")</f>
        <v>Услуги по обеспечению информационной безопасности</v>
      </c>
      <c r="E56" s="47">
        <v>100000000</v>
      </c>
      <c r="F56" s="103" t="str">
        <f>HYPERLINK("https://goszakup.gov.kz/ru/announce/index/13899688","Государственные закупки")</f>
        <v>Государственные закупки</v>
      </c>
      <c r="G56" s="105" t="s">
        <v>747</v>
      </c>
      <c r="H56" s="45" t="s">
        <v>595</v>
      </c>
      <c r="I56" s="85" t="s">
        <v>590</v>
      </c>
      <c r="J56" s="17" t="s">
        <v>748</v>
      </c>
      <c r="K56" s="17">
        <v>69990000</v>
      </c>
      <c r="L56" s="79">
        <f t="shared" si="0"/>
        <v>-0.30009999999999998</v>
      </c>
    </row>
    <row r="57" spans="1:13" ht="33">
      <c r="A57" s="44">
        <v>45701.916782407003</v>
      </c>
      <c r="B57" s="45" t="s">
        <v>749</v>
      </c>
      <c r="C57" s="45" t="s">
        <v>750</v>
      </c>
      <c r="D57" s="46" t="str">
        <f>HYPERLINK("https://tenderplus.kz/zakupki/43904248","Услуги по обеспечению информационной безопасности")</f>
        <v>Услуги по обеспечению информационной безопасности</v>
      </c>
      <c r="E57" s="47">
        <v>2072357.14</v>
      </c>
      <c r="F57" s="103" t="str">
        <f>HYPERLINK("https://goszakup.gov.kz/ru/announce/index/14003935","Государственные закупки")</f>
        <v>Государственные закупки</v>
      </c>
      <c r="G57" s="103" t="s">
        <v>216</v>
      </c>
      <c r="H57" s="45" t="s">
        <v>751</v>
      </c>
      <c r="I57" s="85" t="s">
        <v>590</v>
      </c>
      <c r="J57" s="17" t="s">
        <v>752</v>
      </c>
      <c r="K57" s="17">
        <v>2000000</v>
      </c>
      <c r="L57" s="79">
        <f t="shared" si="0"/>
        <v>-3.4915381428897871E-2</v>
      </c>
    </row>
    <row r="58" spans="1:13" ht="33">
      <c r="A58" s="44">
        <v>45705.375</v>
      </c>
      <c r="B58" s="45" t="s">
        <v>683</v>
      </c>
      <c r="C58" s="45" t="s">
        <v>684</v>
      </c>
      <c r="D58" s="46" t="str">
        <f>HYPERLINK("https://tenderplus.kz/zakupki/43886155","Услуги по обеспечению информационной безопасности")</f>
        <v>Услуги по обеспечению информационной безопасности</v>
      </c>
      <c r="E58" s="47">
        <v>5388000</v>
      </c>
      <c r="F58" s="103" t="str">
        <f>HYPERLINK("https://zakup.nationalbank.kz/ru/publics/lot/172802","ЭТП «Национальный Банк»")</f>
        <v>ЭТП «Национальный Банк»</v>
      </c>
      <c r="G58" s="103" t="s">
        <v>216</v>
      </c>
      <c r="H58" s="45" t="s">
        <v>589</v>
      </c>
      <c r="I58" s="85" t="s">
        <v>604</v>
      </c>
      <c r="J58" s="17" t="s">
        <v>541</v>
      </c>
      <c r="K58" s="17">
        <v>4910714.29</v>
      </c>
      <c r="L58" s="79">
        <f t="shared" si="0"/>
        <v>-8.8583093912397909E-2</v>
      </c>
    </row>
    <row r="59" spans="1:13" ht="201.75">
      <c r="A59" s="44">
        <v>45706.375</v>
      </c>
      <c r="B59" s="45" t="s">
        <v>746</v>
      </c>
      <c r="C59" s="45" t="s">
        <v>236</v>
      </c>
      <c r="D59" s="46" t="str">
        <f>HYPERLINK("https://tenderplus.kz/zakupki/43799426","Услуги по обеспечению информационной безопасности")</f>
        <v>Услуги по обеспечению информационной безопасности</v>
      </c>
      <c r="E59" s="47">
        <v>140357142.86000001</v>
      </c>
      <c r="F59" s="103" t="str">
        <f>HYPERLINK("https://goszakup.gov.kz/ru/announce/index/13986975","Государственные закупки")</f>
        <v>Государственные закупки</v>
      </c>
      <c r="G59" s="105" t="s">
        <v>747</v>
      </c>
      <c r="H59" s="45" t="s">
        <v>595</v>
      </c>
      <c r="I59" s="85" t="s">
        <v>590</v>
      </c>
      <c r="J59" s="17" t="s">
        <v>232</v>
      </c>
      <c r="K59" s="17"/>
      <c r="L59" s="79"/>
    </row>
    <row r="60" spans="1:13" ht="33">
      <c r="A60" s="44">
        <v>45706.491620369998</v>
      </c>
      <c r="B60" s="45" t="s">
        <v>753</v>
      </c>
      <c r="C60" s="45" t="s">
        <v>754</v>
      </c>
      <c r="D60" s="46" t="str">
        <f>HYPERLINK("https://tenderplus.kz/zakupki/44027937","Услуги по обеспечению информационной безопасности")</f>
        <v>Услуги по обеспечению информационной безопасности</v>
      </c>
      <c r="E60" s="47">
        <v>5508928.5700000003</v>
      </c>
      <c r="F60" s="103" t="str">
        <f>HYPERLINK("https://goszakup.gov.kz/ru/announce/index/14041848","Государственные закупки")</f>
        <v>Государственные закупки</v>
      </c>
      <c r="G60" s="105" t="s">
        <v>755</v>
      </c>
      <c r="H60" s="45" t="s">
        <v>637</v>
      </c>
      <c r="I60" s="85" t="s">
        <v>590</v>
      </c>
      <c r="J60" s="81" t="s">
        <v>638</v>
      </c>
      <c r="K60" s="17">
        <v>5500000</v>
      </c>
      <c r="L60" s="79">
        <f t="shared" si="0"/>
        <v>-1.6207452840508146E-3</v>
      </c>
    </row>
    <row r="61" spans="1:13" ht="33">
      <c r="A61" s="44">
        <v>45707.375</v>
      </c>
      <c r="B61" s="45" t="s">
        <v>756</v>
      </c>
      <c r="C61" s="45" t="s">
        <v>757</v>
      </c>
      <c r="D61" s="46" t="str">
        <f>HYPERLINK("https://tenderplus.kz/zakupki/43871970","Услуги по обеспечению информационной безопасности")</f>
        <v>Услуги по обеспечению информационной безопасности</v>
      </c>
      <c r="E61" s="47">
        <v>14400000</v>
      </c>
      <c r="F61" s="103" t="str">
        <f>HYPERLINK("https://goszakup.gov.kz/ru/announce/index/14006151","Государственные закупки")</f>
        <v>Государственные закупки</v>
      </c>
      <c r="G61" s="105" t="s">
        <v>758</v>
      </c>
      <c r="H61" s="45" t="s">
        <v>626</v>
      </c>
      <c r="I61" s="85" t="s">
        <v>590</v>
      </c>
      <c r="J61" s="17" t="s">
        <v>759</v>
      </c>
      <c r="K61" s="17">
        <v>13900000</v>
      </c>
      <c r="L61" s="79">
        <f t="shared" si="0"/>
        <v>-3.4722222222222224E-2</v>
      </c>
    </row>
    <row r="62" spans="1:13" ht="201.75">
      <c r="A62" s="44">
        <v>45707.375</v>
      </c>
      <c r="B62" s="45" t="s">
        <v>746</v>
      </c>
      <c r="C62" s="45" t="s">
        <v>236</v>
      </c>
      <c r="D62" s="46" t="str">
        <f>HYPERLINK("https://tenderplus.kz/zakupki/43840873","Услуги по обеспечению информационной безопасности")</f>
        <v>Услуги по обеспечению информационной безопасности</v>
      </c>
      <c r="E62" s="47">
        <v>99371428.579999998</v>
      </c>
      <c r="F62" s="103" t="str">
        <f>HYPERLINK("https://goszakup.gov.kz/ru/announce/index/13998498","Государственные закупки")</f>
        <v>Государственные закупки</v>
      </c>
      <c r="G62" s="105" t="s">
        <v>747</v>
      </c>
      <c r="H62" s="45" t="s">
        <v>595</v>
      </c>
      <c r="I62" s="85" t="s">
        <v>590</v>
      </c>
      <c r="J62" s="18" t="s">
        <v>760</v>
      </c>
      <c r="K62" s="17">
        <v>99371428</v>
      </c>
      <c r="L62" s="79">
        <f t="shared" si="0"/>
        <v>-5.8366877330834146E-9</v>
      </c>
    </row>
    <row r="63" spans="1:13" ht="115.5">
      <c r="A63" s="44">
        <v>45707.416666666999</v>
      </c>
      <c r="B63" s="45" t="s">
        <v>761</v>
      </c>
      <c r="C63" s="45" t="s">
        <v>762</v>
      </c>
      <c r="D63" s="46" t="str">
        <f>HYPERLINK("https://tenderplus.kz/zakupki/44048837","Обеспечение информационной безопасности")</f>
        <v>Обеспечение информационной безопасности</v>
      </c>
      <c r="E63" s="47">
        <v>36200000</v>
      </c>
      <c r="F63" s="103" t="str">
        <f>HYPERLINK("https://td.ccx.kz/trades/profile/32249","Торговый дом CASPY")</f>
        <v>Торговый дом CASPY</v>
      </c>
      <c r="G63" s="103" t="s">
        <v>216</v>
      </c>
      <c r="H63" s="45" t="s">
        <v>742</v>
      </c>
      <c r="I63" s="85" t="s">
        <v>604</v>
      </c>
      <c r="J63" s="82" t="s">
        <v>763</v>
      </c>
      <c r="K63" s="17"/>
      <c r="L63" s="79"/>
    </row>
    <row r="64" spans="1:13" ht="33">
      <c r="A64" s="44">
        <v>45709.375</v>
      </c>
      <c r="B64" s="45" t="s">
        <v>764</v>
      </c>
      <c r="C64" s="45" t="s">
        <v>765</v>
      </c>
      <c r="D64" s="46" t="str">
        <f>HYPERLINK("https://tenderplus.kz/zakupki/43851199","Услуги по обеспечению информационной безопасности")</f>
        <v>Услуги по обеспечению информационной безопасности</v>
      </c>
      <c r="E64" s="47">
        <v>36420535.710000001</v>
      </c>
      <c r="F64" s="103" t="str">
        <f>HYPERLINK("https://goszakup.gov.kz/ru/announce/index/14003347","Государственные закупки")</f>
        <v>Государственные закупки</v>
      </c>
      <c r="G64" s="105" t="s">
        <v>766</v>
      </c>
      <c r="H64" s="45" t="s">
        <v>595</v>
      </c>
      <c r="I64" s="85" t="s">
        <v>590</v>
      </c>
      <c r="J64" s="17" t="s">
        <v>541</v>
      </c>
      <c r="K64" s="17">
        <v>21480000</v>
      </c>
      <c r="L64" s="79">
        <f t="shared" si="0"/>
        <v>-0.41022284320485081</v>
      </c>
    </row>
    <row r="65" spans="1:13" ht="201.75">
      <c r="A65" s="44">
        <v>45709.375</v>
      </c>
      <c r="B65" s="45" t="s">
        <v>746</v>
      </c>
      <c r="C65" s="45" t="s">
        <v>236</v>
      </c>
      <c r="D65" s="46" t="str">
        <f>HYPERLINK("https://tenderplus.kz/zakupki/44105556","Услуги по обеспечению информационной безопасности")</f>
        <v>Услуги по обеспечению информационной безопасности</v>
      </c>
      <c r="E65" s="47">
        <v>81400000</v>
      </c>
      <c r="F65" s="103" t="str">
        <f>HYPERLINK("https://goszakup.gov.kz/ru/announce/index/14071059","Государственные закупки")</f>
        <v>Государственные закупки</v>
      </c>
      <c r="G65" s="105" t="s">
        <v>747</v>
      </c>
      <c r="H65" s="45" t="s">
        <v>595</v>
      </c>
      <c r="I65" s="85" t="s">
        <v>590</v>
      </c>
      <c r="J65" s="17" t="s">
        <v>232</v>
      </c>
      <c r="K65" s="17"/>
      <c r="L65" s="79"/>
    </row>
    <row r="66" spans="1:13" ht="33">
      <c r="A66" s="44">
        <v>45709.664733796002</v>
      </c>
      <c r="B66" s="45" t="s">
        <v>767</v>
      </c>
      <c r="C66" s="45" t="s">
        <v>768</v>
      </c>
      <c r="D66" s="46" t="str">
        <f>HYPERLINK("https://tenderplus.kz/zakupki/44136021","Услуги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66" s="47">
        <v>5950000</v>
      </c>
      <c r="F66" s="103" t="str">
        <f>HYPERLINK("https://goszakup.gov.kz/ru/announce/index/14090377","Государственные закупки")</f>
        <v>Государственные закупки</v>
      </c>
      <c r="G66" s="105" t="s">
        <v>769</v>
      </c>
      <c r="H66" s="45" t="s">
        <v>637</v>
      </c>
      <c r="I66" s="85" t="s">
        <v>590</v>
      </c>
      <c r="J66" s="17" t="s">
        <v>638</v>
      </c>
      <c r="K66" s="17">
        <v>5900000</v>
      </c>
      <c r="L66" s="79">
        <f t="shared" ref="L66:L122" si="1">(K66-E66)/E66</f>
        <v>-8.4033613445378148E-3</v>
      </c>
    </row>
    <row r="67" spans="1:13" ht="33">
      <c r="A67" s="44">
        <v>45712.375590278003</v>
      </c>
      <c r="B67" s="45" t="s">
        <v>724</v>
      </c>
      <c r="C67" s="45" t="s">
        <v>435</v>
      </c>
      <c r="D67" s="46" t="str">
        <f>HYPERLINK("https://tenderplus.kz/zakupki/44137093","Услуги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67" s="47">
        <v>10285000</v>
      </c>
      <c r="F67" s="103" t="str">
        <f>HYPERLINK("https://goszakup.gov.kz/ru/announce/index/14094038","Государственные закупки")</f>
        <v>Государственные закупки</v>
      </c>
      <c r="G67" s="105" t="s">
        <v>725</v>
      </c>
      <c r="H67" s="45" t="s">
        <v>726</v>
      </c>
      <c r="I67" s="85" t="s">
        <v>590</v>
      </c>
      <c r="J67" s="17" t="s">
        <v>409</v>
      </c>
      <c r="K67" s="81">
        <v>10265000</v>
      </c>
      <c r="L67" s="79">
        <f t="shared" si="1"/>
        <v>-1.9445794846864365E-3</v>
      </c>
    </row>
    <row r="68" spans="1:13" ht="33">
      <c r="A68" s="44">
        <v>45712.424236111001</v>
      </c>
      <c r="B68" s="45" t="s">
        <v>770</v>
      </c>
      <c r="C68" s="45" t="s">
        <v>771</v>
      </c>
      <c r="D68" s="46" t="str">
        <f>HYPERLINK("https://tenderplus.kz/zakupki/44168429","Услуги по обеспечению информационной безопасности")</f>
        <v>Услуги по обеспечению информационной безопасности</v>
      </c>
      <c r="E68" s="47">
        <v>4500000</v>
      </c>
      <c r="F68" s="103" t="str">
        <f>HYPERLINK("https://goszakup.gov.kz/ru/announce/index/14098697","Государственные закупки")</f>
        <v>Государственные закупки</v>
      </c>
      <c r="G68" s="103" t="s">
        <v>216</v>
      </c>
      <c r="H68" s="45" t="s">
        <v>637</v>
      </c>
      <c r="I68" s="85" t="s">
        <v>590</v>
      </c>
      <c r="J68" s="17" t="s">
        <v>638</v>
      </c>
      <c r="K68" s="17">
        <v>4500000</v>
      </c>
      <c r="L68" s="79">
        <f t="shared" si="1"/>
        <v>0</v>
      </c>
    </row>
    <row r="69" spans="1:13" ht="33">
      <c r="A69" s="44">
        <v>45712.527303240997</v>
      </c>
      <c r="B69" s="45" t="s">
        <v>772</v>
      </c>
      <c r="C69" s="45" t="s">
        <v>773</v>
      </c>
      <c r="D69" s="46" t="str">
        <f>HYPERLINK("https://tenderplus.kz/zakupki/44164390","Услуги по обеспечению информационной безопасности")</f>
        <v>Услуги по обеспечению информационной безопасности</v>
      </c>
      <c r="E69" s="47">
        <v>6346428.5700000003</v>
      </c>
      <c r="F69" s="103" t="str">
        <f>HYPERLINK("https://goszakup.gov.kz/ru/announce/index/14102397","Государственные закупки")</f>
        <v>Государственные закупки</v>
      </c>
      <c r="G69" s="103" t="s">
        <v>216</v>
      </c>
      <c r="H69" s="45" t="s">
        <v>629</v>
      </c>
      <c r="I69" s="85" t="s">
        <v>590</v>
      </c>
      <c r="J69" s="18" t="s">
        <v>470</v>
      </c>
      <c r="K69" s="17">
        <v>6346428.5700000003</v>
      </c>
      <c r="L69" s="79">
        <f t="shared" si="1"/>
        <v>0</v>
      </c>
    </row>
    <row r="70" spans="1:13" ht="33">
      <c r="A70" s="44">
        <v>45713.675775463002</v>
      </c>
      <c r="B70" s="45" t="s">
        <v>774</v>
      </c>
      <c r="C70" s="45" t="s">
        <v>775</v>
      </c>
      <c r="D70" s="46" t="str">
        <f>HYPERLINK("https://tenderplus.kz/zakupki/44191090","Услуги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70" s="47">
        <v>7500000</v>
      </c>
      <c r="F70" s="103" t="str">
        <f>HYPERLINK("https://goszakup.gov.kz/ru/announce/index/14120026","Государственные закупки")</f>
        <v>Государственные закупки</v>
      </c>
      <c r="G70" s="103" t="s">
        <v>216</v>
      </c>
      <c r="H70" s="45" t="s">
        <v>696</v>
      </c>
      <c r="I70" s="85" t="s">
        <v>590</v>
      </c>
      <c r="J70" s="17" t="s">
        <v>615</v>
      </c>
      <c r="K70" s="17">
        <v>7500000</v>
      </c>
      <c r="L70" s="79">
        <f t="shared" si="1"/>
        <v>0</v>
      </c>
    </row>
    <row r="71" spans="1:13" ht="29.25">
      <c r="A71" s="44">
        <v>45715.625451389002</v>
      </c>
      <c r="B71" s="45" t="s">
        <v>776</v>
      </c>
      <c r="C71" s="45" t="s">
        <v>777</v>
      </c>
      <c r="D71" s="46" t="str">
        <f>HYPERLINK("https://tenderplus.kz/zakupki/44245593","Услуги по обеспечению информационной безопасности")</f>
        <v>Услуги по обеспечению информационной безопасности</v>
      </c>
      <c r="E71" s="47">
        <v>87851726.349999994</v>
      </c>
      <c r="F71" s="103" t="str">
        <f>HYPERLINK("https://zakup.sk.kz/#/ext(popup:item/3938943/lot)","Самрук-Казына")</f>
        <v>Самрук-Казына</v>
      </c>
      <c r="G71" s="103" t="s">
        <v>216</v>
      </c>
      <c r="H71" s="45" t="s">
        <v>589</v>
      </c>
      <c r="I71" s="85" t="s">
        <v>604</v>
      </c>
      <c r="J71" s="18" t="s">
        <v>630</v>
      </c>
      <c r="K71" s="18">
        <v>87851726.349999994</v>
      </c>
      <c r="L71" s="79">
        <f t="shared" si="1"/>
        <v>0</v>
      </c>
      <c r="M71" t="s">
        <v>528</v>
      </c>
    </row>
    <row r="72" spans="1:13" ht="33">
      <c r="A72" s="44">
        <v>45716.670578703997</v>
      </c>
      <c r="B72" s="45" t="s">
        <v>778</v>
      </c>
      <c r="C72" s="45" t="s">
        <v>779</v>
      </c>
      <c r="D72" s="46" t="str">
        <f>HYPERLINK("https://tenderplus.kz/zakupki/44297919","Услуги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72" s="47">
        <v>5329613.0999999996</v>
      </c>
      <c r="F72" s="103" t="str">
        <f>HYPERLINK("https://goszakup.gov.kz/ru/announce/index/14158877","Государственные закупки")</f>
        <v>Государственные закупки</v>
      </c>
      <c r="G72" s="105" t="s">
        <v>780</v>
      </c>
      <c r="H72" s="45" t="s">
        <v>637</v>
      </c>
      <c r="I72" s="85" t="s">
        <v>590</v>
      </c>
      <c r="J72" s="17" t="s">
        <v>638</v>
      </c>
      <c r="K72" s="17">
        <v>5300000</v>
      </c>
      <c r="L72" s="79">
        <f t="shared" si="1"/>
        <v>-5.5563320346836489E-3</v>
      </c>
    </row>
    <row r="73" spans="1:13" ht="33">
      <c r="A73" s="44">
        <v>45716.733634258999</v>
      </c>
      <c r="B73" s="45" t="s">
        <v>781</v>
      </c>
      <c r="C73" s="45" t="s">
        <v>782</v>
      </c>
      <c r="D73" s="46" t="str">
        <f>HYPERLINK("https://tenderplus.kz/zakupki/44303731","Услуги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73" s="47">
        <v>9151785.7100000009</v>
      </c>
      <c r="F73" s="103" t="str">
        <f>HYPERLINK("https://goszakup.gov.kz/ru/announce/index/14161024","Государственные закупки")</f>
        <v>Государственные закупки</v>
      </c>
      <c r="G73" s="103" t="s">
        <v>216</v>
      </c>
      <c r="H73" s="45" t="s">
        <v>637</v>
      </c>
      <c r="I73" s="85" t="s">
        <v>590</v>
      </c>
      <c r="J73" s="17" t="s">
        <v>638</v>
      </c>
      <c r="K73" s="81">
        <v>9100000</v>
      </c>
      <c r="L73" s="79">
        <f t="shared" si="1"/>
        <v>-5.658536119723119E-3</v>
      </c>
    </row>
    <row r="74" spans="1:13" ht="33">
      <c r="A74" s="44">
        <v>45719.375</v>
      </c>
      <c r="B74" s="45" t="s">
        <v>783</v>
      </c>
      <c r="C74" s="45" t="s">
        <v>784</v>
      </c>
      <c r="D74" s="46" t="str">
        <f>HYPERLINK("https://tenderplus.kz/zakupki/44215040","Услуги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74" s="47">
        <v>13317300</v>
      </c>
      <c r="F74" s="103" t="str">
        <f>HYPERLINK("https://goszakup.gov.kz/ru/announce/index/14122823","Государственные закупки")</f>
        <v>Государственные закупки</v>
      </c>
      <c r="G74" s="103" t="s">
        <v>216</v>
      </c>
      <c r="H74" s="45" t="s">
        <v>637</v>
      </c>
      <c r="I74" s="85" t="s">
        <v>590</v>
      </c>
      <c r="J74" s="17" t="s">
        <v>380</v>
      </c>
      <c r="K74" s="17">
        <v>11319705</v>
      </c>
      <c r="L74" s="79">
        <f t="shared" si="1"/>
        <v>-0.15</v>
      </c>
    </row>
    <row r="75" spans="1:13" ht="115.5">
      <c r="A75" s="44">
        <v>45720.416666666999</v>
      </c>
      <c r="B75" s="45" t="s">
        <v>761</v>
      </c>
      <c r="C75" s="45" t="s">
        <v>762</v>
      </c>
      <c r="D75" s="46" t="str">
        <f>HYPERLINK("https://tenderplus.kz/zakupki/44339376","Обеспечение информационной безопасности")</f>
        <v>Обеспечение информационной безопасности</v>
      </c>
      <c r="E75" s="47">
        <v>36200000</v>
      </c>
      <c r="F75" s="103" t="str">
        <f>HYPERLINK("https://td.ccx.kz/trades/profile/32781","Торговый дом CASPY")</f>
        <v>Торговый дом CASPY</v>
      </c>
      <c r="G75" s="103" t="s">
        <v>216</v>
      </c>
      <c r="H75" s="45" t="s">
        <v>742</v>
      </c>
      <c r="I75" s="85" t="s">
        <v>604</v>
      </c>
      <c r="J75" s="82" t="s">
        <v>785</v>
      </c>
      <c r="K75" s="17"/>
      <c r="L75" s="79"/>
    </row>
    <row r="76" spans="1:13" ht="33">
      <c r="A76" s="44">
        <v>45721.375</v>
      </c>
      <c r="B76" s="45" t="s">
        <v>786</v>
      </c>
      <c r="C76" s="45" t="s">
        <v>787</v>
      </c>
      <c r="D76" s="46" t="str">
        <f>HYPERLINK("https://tenderplus.kz/zakupki/44345636","Услуги по обеспечению информационной безопасности")</f>
        <v>Услуги по обеспечению информационной безопасности</v>
      </c>
      <c r="E76" s="47">
        <v>67575000</v>
      </c>
      <c r="F76" s="103" t="str">
        <f>HYPERLINK("https://goszakup.gov.kz/ru/announce/index/14142633","Государственные закупки")</f>
        <v>Государственные закупки</v>
      </c>
      <c r="G76" s="103" t="s">
        <v>216</v>
      </c>
      <c r="H76" s="45" t="s">
        <v>595</v>
      </c>
      <c r="I76" s="85" t="s">
        <v>590</v>
      </c>
      <c r="J76" s="81" t="s">
        <v>788</v>
      </c>
      <c r="K76" s="17">
        <v>52708000</v>
      </c>
      <c r="L76" s="79">
        <f t="shared" si="1"/>
        <v>-0.22000739918608953</v>
      </c>
    </row>
    <row r="77" spans="1:13" ht="57.75">
      <c r="A77" s="44">
        <v>45721.841631944</v>
      </c>
      <c r="B77" s="45" t="s">
        <v>789</v>
      </c>
      <c r="C77" s="45" t="s">
        <v>790</v>
      </c>
      <c r="D77" s="46" t="str">
        <f>HYPERLINK("https://tenderplus.kz/zakupki/44393115","Услуги по обеспечению информационной безопасности")</f>
        <v>Услуги по обеспечению информационной безопасности</v>
      </c>
      <c r="E77" s="47">
        <v>35069942.159999996</v>
      </c>
      <c r="F77" s="103" t="str">
        <f>HYPERLINK("https://zakup.sk.kz/#/ext(popup:item/3951457/lot)","Самрук-Казына")</f>
        <v>Самрук-Казына</v>
      </c>
      <c r="G77" s="103" t="s">
        <v>216</v>
      </c>
      <c r="H77" s="45" t="s">
        <v>677</v>
      </c>
      <c r="I77" s="85" t="s">
        <v>604</v>
      </c>
      <c r="J77" s="18" t="s">
        <v>249</v>
      </c>
      <c r="K77" s="17">
        <v>35069942.159999996</v>
      </c>
      <c r="L77" s="79">
        <f t="shared" si="1"/>
        <v>0</v>
      </c>
    </row>
    <row r="78" spans="1:13" ht="33">
      <c r="A78" s="44">
        <v>45722.375</v>
      </c>
      <c r="B78" s="45" t="s">
        <v>791</v>
      </c>
      <c r="C78" s="45" t="s">
        <v>792</v>
      </c>
      <c r="D78" s="46" t="str">
        <f>HYPERLINK("https://tenderplus.kz/zakupki/44295944","Услуги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78" s="47">
        <v>16071428.58</v>
      </c>
      <c r="F78" s="103" t="str">
        <f>HYPERLINK("https://goszakup.gov.kz/ru/announce/index/14147678","Государственные закупки")</f>
        <v>Государственные закупки</v>
      </c>
      <c r="G78" s="105" t="s">
        <v>793</v>
      </c>
      <c r="H78" s="45" t="s">
        <v>751</v>
      </c>
      <c r="I78" s="85" t="s">
        <v>590</v>
      </c>
      <c r="J78" s="17" t="s">
        <v>794</v>
      </c>
      <c r="K78" s="17">
        <v>16071428.58</v>
      </c>
      <c r="L78" s="79">
        <f t="shared" si="1"/>
        <v>0</v>
      </c>
    </row>
    <row r="79" spans="1:13" ht="33">
      <c r="A79" s="44">
        <v>45722.375</v>
      </c>
      <c r="B79" s="45" t="s">
        <v>795</v>
      </c>
      <c r="C79" s="45" t="s">
        <v>796</v>
      </c>
      <c r="D79" s="46" t="str">
        <f>HYPERLINK("https://tenderplus.kz/zakupki/44331135","Услуги по обеспечению информационной безопасности")</f>
        <v>Услуги по обеспечению информационной безопасности</v>
      </c>
      <c r="E79" s="47">
        <v>38690124</v>
      </c>
      <c r="F79" s="103" t="str">
        <f>HYPERLINK("https://goszakup.gov.kz/ru/announce/index/14170414","Государственные закупки")</f>
        <v>Государственные закупки</v>
      </c>
      <c r="G79" s="103" t="s">
        <v>216</v>
      </c>
      <c r="H79" s="45" t="s">
        <v>589</v>
      </c>
      <c r="I79" s="85" t="s">
        <v>590</v>
      </c>
      <c r="J79" s="17" t="s">
        <v>797</v>
      </c>
      <c r="K79" s="17">
        <v>38000000</v>
      </c>
      <c r="L79" s="79">
        <f t="shared" si="1"/>
        <v>-1.7837213444960788E-2</v>
      </c>
    </row>
    <row r="80" spans="1:13" ht="33">
      <c r="A80" s="44">
        <v>45723.375</v>
      </c>
      <c r="B80" s="45" t="s">
        <v>798</v>
      </c>
      <c r="C80" s="45" t="s">
        <v>799</v>
      </c>
      <c r="D80" s="46" t="str">
        <f>HYPERLINK("https://tenderplus.kz/zakupki/44365780","Услуги по обеспечению информационной безопасности")</f>
        <v>Услуги по обеспечению информационной безопасности</v>
      </c>
      <c r="E80" s="47">
        <v>10500000</v>
      </c>
      <c r="F80" s="103" t="str">
        <f>HYPERLINK("https://goszakup.gov.kz/ru/announce/index/14184404","Государственные закупки")</f>
        <v>Государственные закупки</v>
      </c>
      <c r="G80" s="103" t="s">
        <v>216</v>
      </c>
      <c r="H80" s="45" t="s">
        <v>730</v>
      </c>
      <c r="I80" s="85" t="s">
        <v>590</v>
      </c>
      <c r="J80" s="17" t="s">
        <v>800</v>
      </c>
      <c r="K80" s="81">
        <v>4831337</v>
      </c>
      <c r="L80" s="79">
        <f t="shared" si="1"/>
        <v>-0.53987266666666667</v>
      </c>
    </row>
    <row r="81" spans="1:12" ht="33">
      <c r="A81" s="44">
        <v>45730.375</v>
      </c>
      <c r="B81" s="45" t="s">
        <v>801</v>
      </c>
      <c r="C81" s="45" t="s">
        <v>802</v>
      </c>
      <c r="D81" s="46" t="str">
        <f>HYPERLINK("https://tenderplus.kz/zakupki/44473165","Услуги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81" s="47">
        <v>11150000</v>
      </c>
      <c r="F81" s="103" t="str">
        <f>HYPERLINK("https://goszakup.gov.kz/ru/announce/index/14233976","Государственные закупки")</f>
        <v>Государственные закупки</v>
      </c>
      <c r="G81" s="103" t="s">
        <v>216</v>
      </c>
      <c r="H81" s="45" t="s">
        <v>677</v>
      </c>
      <c r="I81" s="85" t="s">
        <v>590</v>
      </c>
      <c r="J81" s="17" t="s">
        <v>803</v>
      </c>
      <c r="K81" s="17">
        <v>7463000</v>
      </c>
      <c r="L81" s="79">
        <f t="shared" si="1"/>
        <v>-0.33067264573991029</v>
      </c>
    </row>
    <row r="82" spans="1:12" ht="43.5">
      <c r="A82" s="44">
        <v>45730.458333333001</v>
      </c>
      <c r="B82" s="45" t="s">
        <v>804</v>
      </c>
      <c r="C82" s="45" t="s">
        <v>805</v>
      </c>
      <c r="D82" s="46" t="str">
        <f>HYPERLINK("https://tenderplus.kz/zakupki/44549527","Услуги по обеспечению информационной безопасности")</f>
        <v>Услуги по обеспечению информационной безопасности</v>
      </c>
      <c r="E82" s="47">
        <v>31941964.309999999</v>
      </c>
      <c r="F82" s="103" t="str">
        <f>HYPERLINK("https://eep.mitwork.kz/ru/publics/lot/524814","Mitwork")</f>
        <v>Mitwork</v>
      </c>
      <c r="G82" s="103" t="s">
        <v>216</v>
      </c>
      <c r="H82" s="45" t="s">
        <v>603</v>
      </c>
      <c r="I82" s="85" t="s">
        <v>604</v>
      </c>
      <c r="J82" s="18" t="s">
        <v>760</v>
      </c>
      <c r="K82" s="17">
        <v>22098500</v>
      </c>
      <c r="L82" s="79">
        <f t="shared" si="1"/>
        <v>-0.30816715636108599</v>
      </c>
    </row>
    <row r="83" spans="1:12" ht="33">
      <c r="A83" s="44">
        <v>45733.375</v>
      </c>
      <c r="B83" s="45" t="s">
        <v>806</v>
      </c>
      <c r="C83" s="45" t="s">
        <v>807</v>
      </c>
      <c r="D83" s="46" t="str">
        <f>HYPERLINK("https://tenderplus.kz/zakupki/44481740","Услуги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83" s="47">
        <v>4955000</v>
      </c>
      <c r="F83" s="103" t="str">
        <f>HYPERLINK("https://goszakup.gov.kz/ru/announce/index/14237431","Государственные закупки")</f>
        <v>Государственные закупки</v>
      </c>
      <c r="G83" s="103" t="s">
        <v>216</v>
      </c>
      <c r="H83" s="45" t="s">
        <v>637</v>
      </c>
      <c r="I83" s="85" t="s">
        <v>590</v>
      </c>
      <c r="J83" s="17" t="s">
        <v>808</v>
      </c>
      <c r="K83" s="17">
        <v>4954000</v>
      </c>
      <c r="L83" s="79">
        <f t="shared" si="1"/>
        <v>-2.0181634712411706E-4</v>
      </c>
    </row>
    <row r="84" spans="1:12" ht="57.75">
      <c r="A84" s="44">
        <v>45734.375</v>
      </c>
      <c r="B84" s="45" t="s">
        <v>809</v>
      </c>
      <c r="C84" s="102" t="s">
        <v>810</v>
      </c>
      <c r="D84" s="46" t="str">
        <f>HYPERLINK("https://tenderplus.kz/zakupki/44542177","Услуги по обеспечению информационной безопасности")</f>
        <v>Услуги по обеспечению информационной безопасности</v>
      </c>
      <c r="E84" s="47">
        <v>24108826.52</v>
      </c>
      <c r="F84" s="103" t="str">
        <f>HYPERLINK("https://goszakup.gov.kz/ru/announce/index/14264266","Государственные закупки")</f>
        <v>Государственные закупки</v>
      </c>
      <c r="G84" s="105" t="s">
        <v>811</v>
      </c>
      <c r="H84" s="45" t="s">
        <v>812</v>
      </c>
      <c r="I84" s="85" t="s">
        <v>590</v>
      </c>
      <c r="J84" s="17" t="s">
        <v>615</v>
      </c>
      <c r="K84" s="17">
        <v>24108826</v>
      </c>
      <c r="L84" s="79">
        <f t="shared" si="1"/>
        <v>-2.1568863964473257E-8</v>
      </c>
    </row>
    <row r="85" spans="1:12" ht="201.75">
      <c r="A85" s="44">
        <v>45743.733356481003</v>
      </c>
      <c r="B85" s="45" t="s">
        <v>746</v>
      </c>
      <c r="C85" s="45" t="s">
        <v>236</v>
      </c>
      <c r="D85" s="46" t="str">
        <f>HYPERLINK("https://tenderplus.kz/zakupki/44775983","Услуги по обеспечению информационной безопасности")</f>
        <v>Услуги по обеспечению информационной безопасности</v>
      </c>
      <c r="E85" s="47">
        <v>140357142.86000001</v>
      </c>
      <c r="F85" s="103" t="str">
        <f>HYPERLINK("https://goszakup.gov.kz/ru/announce/index/14362885","Государственные закупки")</f>
        <v>Государственные закупки</v>
      </c>
      <c r="G85" s="105" t="s">
        <v>747</v>
      </c>
      <c r="H85" s="45" t="s">
        <v>595</v>
      </c>
      <c r="I85" s="85" t="s">
        <v>590</v>
      </c>
      <c r="J85" s="17" t="s">
        <v>259</v>
      </c>
      <c r="K85" s="17">
        <v>140157000</v>
      </c>
      <c r="L85" s="79">
        <f t="shared" si="1"/>
        <v>-1.4259542188005913E-3</v>
      </c>
    </row>
    <row r="86" spans="1:12" ht="57.75">
      <c r="A86" s="44">
        <v>45744.375</v>
      </c>
      <c r="B86" s="45" t="s">
        <v>813</v>
      </c>
      <c r="C86" s="45" t="s">
        <v>814</v>
      </c>
      <c r="D86" s="46" t="str">
        <f>HYPERLINK("https://tenderplus.kz/zakupki/44783286","Услуги по обеспечению информационной безопасности")</f>
        <v>Услуги по обеспечению информационной безопасности</v>
      </c>
      <c r="E86" s="47">
        <v>22057056.73</v>
      </c>
      <c r="F86" s="103" t="str">
        <f>HYPERLINK("https://goszakup.gov.kz/ru/announce/index/14363624","Государственные закупки")</f>
        <v>Государственные закупки</v>
      </c>
      <c r="G86" s="105" t="s">
        <v>815</v>
      </c>
      <c r="H86" s="45" t="s">
        <v>637</v>
      </c>
      <c r="I86" s="85" t="s">
        <v>590</v>
      </c>
      <c r="J86" s="17" t="s">
        <v>638</v>
      </c>
      <c r="K86" s="17">
        <v>21900000</v>
      </c>
      <c r="L86" s="79">
        <f t="shared" si="1"/>
        <v>-7.1204754071465112E-3</v>
      </c>
    </row>
    <row r="87" spans="1:12" ht="16.5">
      <c r="A87" s="44">
        <v>45744.416666666999</v>
      </c>
      <c r="B87" s="45" t="s">
        <v>816</v>
      </c>
      <c r="C87" s="45" t="s">
        <v>817</v>
      </c>
      <c r="D87" s="46" t="str">
        <f>HYPERLINK("https://tenderplus.kz/zakupki/44572956","Услуги по обеспечению информационной безопасности")</f>
        <v>Услуги по обеспечению информационной безопасности</v>
      </c>
      <c r="E87" s="47">
        <v>242745534.19999999</v>
      </c>
      <c r="F87" s="103" t="str">
        <f>HYPERLINK("https://zakup.sk.kz/#/ext(popup:item/3988440/lot)","Самрук-Казына")</f>
        <v>Самрук-Казына</v>
      </c>
      <c r="G87" s="103" t="s">
        <v>216</v>
      </c>
      <c r="H87" s="45" t="s">
        <v>595</v>
      </c>
      <c r="I87" s="85" t="s">
        <v>590</v>
      </c>
      <c r="J87" s="81" t="s">
        <v>788</v>
      </c>
      <c r="K87" s="17">
        <v>242245534</v>
      </c>
      <c r="L87" s="79">
        <f t="shared" si="1"/>
        <v>-2.0597709516997085E-3</v>
      </c>
    </row>
    <row r="88" spans="1:12" ht="29.25">
      <c r="A88" s="44">
        <v>45747.208333333001</v>
      </c>
      <c r="B88" s="45" t="s">
        <v>818</v>
      </c>
      <c r="C88" s="45" t="s">
        <v>819</v>
      </c>
      <c r="D88" s="46" t="str">
        <f>HYPERLINK("https://tenderplus.kz/zakupki/44914126","Услуги по обеспечению информационной безопасности")</f>
        <v>Услуги по обеспечению информационной безопасности</v>
      </c>
      <c r="E88" s="47">
        <v>46445703.840000004</v>
      </c>
      <c r="F88" s="103" t="str">
        <f>HYPERLINK("https://zakup.sk.kz/#/ext(popup:item/3988200/lot)","Самрук-Казына")</f>
        <v>Самрук-Казына</v>
      </c>
      <c r="G88" s="103" t="s">
        <v>216</v>
      </c>
      <c r="H88" s="45" t="s">
        <v>629</v>
      </c>
      <c r="I88" s="85" t="s">
        <v>604</v>
      </c>
      <c r="J88" s="18" t="s">
        <v>820</v>
      </c>
      <c r="K88" s="17">
        <v>28546560</v>
      </c>
      <c r="L88" s="79">
        <f t="shared" si="1"/>
        <v>-0.38537781452640812</v>
      </c>
    </row>
    <row r="89" spans="1:12" ht="57.75">
      <c r="A89" s="44">
        <v>45747.208333333001</v>
      </c>
      <c r="B89" s="45" t="s">
        <v>821</v>
      </c>
      <c r="C89" s="45" t="s">
        <v>248</v>
      </c>
      <c r="D89" s="46" t="str">
        <f>HYPERLINK("https://tenderplus.kz/zakupki/44955589","Услуги по обеспечению информационной безопасности")</f>
        <v>Услуги по обеспечению информационной безопасности</v>
      </c>
      <c r="E89" s="47">
        <v>66331200</v>
      </c>
      <c r="F89" s="103" t="str">
        <f>HYPERLINK("https://zakup.sk.kz/#/ext(popup:item/3998189/lot)","Самрук-Казына")</f>
        <v>Самрук-Казына</v>
      </c>
      <c r="G89" s="103" t="s">
        <v>216</v>
      </c>
      <c r="H89" s="45" t="s">
        <v>595</v>
      </c>
      <c r="I89" s="85" t="s">
        <v>604</v>
      </c>
      <c r="J89" s="18" t="s">
        <v>822</v>
      </c>
      <c r="K89" s="17">
        <v>66331200</v>
      </c>
      <c r="L89" s="79">
        <f t="shared" si="1"/>
        <v>0</v>
      </c>
    </row>
    <row r="90" spans="1:12" ht="16.5">
      <c r="A90" s="44">
        <v>45747.6875</v>
      </c>
      <c r="B90" s="45" t="s">
        <v>761</v>
      </c>
      <c r="C90" s="45" t="s">
        <v>762</v>
      </c>
      <c r="D90" s="46" t="str">
        <f>HYPERLINK("https://tenderplus.kz/zakupki/44833029","Обеспечение информационной безопасности")</f>
        <v>Обеспечение информационной безопасности</v>
      </c>
      <c r="E90" s="47">
        <v>36200000</v>
      </c>
      <c r="F90" s="103" t="str">
        <f>HYPERLINK("https://td.ccx.kz/trades/profile/33427","Торговый дом CASPY")</f>
        <v>Торговый дом CASPY</v>
      </c>
      <c r="G90" s="103" t="s">
        <v>216</v>
      </c>
      <c r="H90" s="45" t="s">
        <v>742</v>
      </c>
      <c r="I90" s="85" t="s">
        <v>604</v>
      </c>
      <c r="J90" s="83" t="s">
        <v>823</v>
      </c>
      <c r="K90" s="17"/>
      <c r="L90" s="79"/>
    </row>
    <row r="91" spans="1:12" ht="33">
      <c r="A91" s="44">
        <v>45748.375</v>
      </c>
      <c r="B91" s="45" t="s">
        <v>824</v>
      </c>
      <c r="C91" s="45" t="s">
        <v>825</v>
      </c>
      <c r="D91" s="46" t="str">
        <f>HYPERLINK("https://tenderplus.kz/zakupki/44707211","Услуги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91" s="47">
        <v>8804000</v>
      </c>
      <c r="F91" s="103" t="str">
        <f>HYPERLINK("https://goszakup.gov.kz/ru/announce/index/14321545","Государственные закупки")</f>
        <v>Государственные закупки</v>
      </c>
      <c r="G91" s="103" t="s">
        <v>216</v>
      </c>
      <c r="H91" s="45" t="s">
        <v>629</v>
      </c>
      <c r="I91" s="85" t="s">
        <v>590</v>
      </c>
      <c r="J91" s="17" t="s">
        <v>826</v>
      </c>
      <c r="K91" s="17">
        <v>8800000</v>
      </c>
      <c r="L91" s="79">
        <f t="shared" si="1"/>
        <v>-4.5433893684688776E-4</v>
      </c>
    </row>
    <row r="92" spans="1:12" ht="33">
      <c r="A92" s="44">
        <v>45750.375</v>
      </c>
      <c r="B92" s="45" t="s">
        <v>827</v>
      </c>
      <c r="C92" s="45" t="s">
        <v>828</v>
      </c>
      <c r="D92" s="46" t="str">
        <f>HYPERLINK("https://tenderplus.kz/zakupki/44826223","Услуги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92" s="47">
        <v>25328750</v>
      </c>
      <c r="F92" s="103" t="str">
        <f>HYPERLINK("https://goszakup.gov.kz/ru/announce/index/14381220","Государственные закупки")</f>
        <v>Государственные закупки</v>
      </c>
      <c r="G92" s="105" t="s">
        <v>829</v>
      </c>
      <c r="H92" s="45" t="s">
        <v>701</v>
      </c>
      <c r="I92" s="85" t="s">
        <v>590</v>
      </c>
      <c r="J92" s="17" t="s">
        <v>541</v>
      </c>
      <c r="K92" s="17">
        <v>25320000</v>
      </c>
      <c r="L92" s="79">
        <f t="shared" si="1"/>
        <v>-3.4545723732912204E-4</v>
      </c>
    </row>
    <row r="93" spans="1:12" ht="33">
      <c r="A93" s="44">
        <v>45750.375</v>
      </c>
      <c r="B93" s="45" t="s">
        <v>830</v>
      </c>
      <c r="C93" s="45" t="s">
        <v>457</v>
      </c>
      <c r="D93" s="46" t="str">
        <f>HYPERLINK("https://tenderplus.kz/zakupki/44835152","Услуги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93" s="47">
        <v>61050000</v>
      </c>
      <c r="F93" s="103" t="str">
        <f>HYPERLINK("https://goszakup.gov.kz/ru/announce/index/14358077","Государственные закупки")</f>
        <v>Государственные закупки</v>
      </c>
      <c r="G93" s="103" t="s">
        <v>216</v>
      </c>
      <c r="H93" s="45" t="s">
        <v>595</v>
      </c>
      <c r="I93" s="85" t="s">
        <v>590</v>
      </c>
      <c r="J93" s="17" t="s">
        <v>615</v>
      </c>
      <c r="K93" s="17">
        <v>61000000</v>
      </c>
      <c r="L93" s="79">
        <f t="shared" si="1"/>
        <v>-8.1900081900081905E-4</v>
      </c>
    </row>
    <row r="94" spans="1:12" ht="16.5">
      <c r="A94" s="44">
        <v>45751.208333333001</v>
      </c>
      <c r="B94" s="45" t="s">
        <v>831</v>
      </c>
      <c r="C94" s="45" t="s">
        <v>832</v>
      </c>
      <c r="D94" s="46" t="str">
        <f>HYPERLINK("https://tenderplus.kz/zakupki/45191808","Услуги по обеспечению информационной безопасности")</f>
        <v>Услуги по обеспечению информационной безопасности</v>
      </c>
      <c r="E94" s="47">
        <v>37762200</v>
      </c>
      <c r="F94" s="103" t="str">
        <f>HYPERLINK("https://zakup.sk.kz/#/ext(popup:item/3979098/lot)","Самрук-Казына")</f>
        <v>Самрук-Казына</v>
      </c>
      <c r="G94" s="103" t="s">
        <v>216</v>
      </c>
      <c r="H94" s="45" t="s">
        <v>589</v>
      </c>
      <c r="I94" s="85" t="s">
        <v>604</v>
      </c>
      <c r="J94" s="17" t="s">
        <v>833</v>
      </c>
      <c r="K94" s="17">
        <v>37762200</v>
      </c>
      <c r="L94" s="79">
        <f t="shared" si="1"/>
        <v>0</v>
      </c>
    </row>
    <row r="95" spans="1:12" ht="57.75">
      <c r="A95" s="44">
        <v>45755.375</v>
      </c>
      <c r="B95" s="45" t="s">
        <v>813</v>
      </c>
      <c r="C95" s="102" t="s">
        <v>814</v>
      </c>
      <c r="D95" s="46" t="str">
        <f>HYPERLINK("https://tenderplus.kz/zakupki/44897754","Услуги по обеспечению информационной безопасности")</f>
        <v>Услуги по обеспечению информационной безопасности</v>
      </c>
      <c r="E95" s="47">
        <v>16388392.42</v>
      </c>
      <c r="F95" s="103" t="str">
        <f>HYPERLINK("https://goszakup.gov.kz/ru/announce/index/14414983","Государственные закупки")</f>
        <v>Государственные закупки</v>
      </c>
      <c r="G95" s="105" t="s">
        <v>815</v>
      </c>
      <c r="H95" s="45" t="s">
        <v>637</v>
      </c>
      <c r="I95" s="85" t="s">
        <v>590</v>
      </c>
      <c r="J95" s="17" t="s">
        <v>638</v>
      </c>
      <c r="K95" s="17">
        <v>16100000</v>
      </c>
      <c r="L95" s="79">
        <f t="shared" si="1"/>
        <v>-1.7597358704204126E-2</v>
      </c>
    </row>
    <row r="96" spans="1:12" ht="33">
      <c r="A96" s="44">
        <v>45756.375</v>
      </c>
      <c r="B96" s="45" t="s">
        <v>834</v>
      </c>
      <c r="C96" s="45" t="s">
        <v>835</v>
      </c>
      <c r="D96" s="46" t="str">
        <f>HYPERLINK("https://tenderplus.kz/zakupki/44940937","Услуги по обеспечению информационной безопасности")</f>
        <v>Услуги по обеспечению информационной безопасности</v>
      </c>
      <c r="E96" s="47">
        <v>11339285.710000001</v>
      </c>
      <c r="F96" s="103" t="str">
        <f>HYPERLINK("https://goszakup.gov.kz/ru/announce/index/14433927","Государственные закупки")</f>
        <v>Государственные закупки</v>
      </c>
      <c r="G96" s="103" t="s">
        <v>216</v>
      </c>
      <c r="H96" s="45" t="s">
        <v>637</v>
      </c>
      <c r="I96" s="85" t="s">
        <v>590</v>
      </c>
      <c r="J96" s="17" t="s">
        <v>836</v>
      </c>
      <c r="K96" s="17">
        <v>11339285</v>
      </c>
      <c r="L96" s="79">
        <f t="shared" si="1"/>
        <v>-6.2614173330858745E-8</v>
      </c>
    </row>
    <row r="97" spans="1:12" ht="33">
      <c r="A97" s="44">
        <v>45757.375</v>
      </c>
      <c r="B97" s="45" t="s">
        <v>837</v>
      </c>
      <c r="C97" s="45" t="s">
        <v>838</v>
      </c>
      <c r="D97" s="46" t="str">
        <f>HYPERLINK("https://tenderplus.kz/zakupki/44966720","Услуги по обеспечению информационной безопасности")</f>
        <v>Услуги по обеспечению информационной безопасности</v>
      </c>
      <c r="E97" s="47">
        <v>24000000</v>
      </c>
      <c r="F97" s="103" t="str">
        <f>HYPERLINK("https://goszakup.gov.kz/ru/announce/index/14385494","Государственные закупки")</f>
        <v>Государственные закупки</v>
      </c>
      <c r="G97" s="105" t="s">
        <v>839</v>
      </c>
      <c r="H97" s="45" t="s">
        <v>595</v>
      </c>
      <c r="I97" s="85" t="s">
        <v>590</v>
      </c>
      <c r="J97" s="17" t="s">
        <v>541</v>
      </c>
      <c r="K97" s="17">
        <v>16800000</v>
      </c>
      <c r="L97" s="79">
        <f t="shared" si="1"/>
        <v>-0.3</v>
      </c>
    </row>
    <row r="98" spans="1:12" ht="33">
      <c r="A98" s="44">
        <v>45757.500243055998</v>
      </c>
      <c r="B98" s="45" t="s">
        <v>840</v>
      </c>
      <c r="C98" s="45" t="s">
        <v>841</v>
      </c>
      <c r="D98" s="46" t="str">
        <f>HYPERLINK("https://tenderplus.kz/zakupki/45063394","Услуги по обеспечению информационной безопасности")</f>
        <v>Услуги по обеспечению информационной безопасности</v>
      </c>
      <c r="E98" s="47">
        <v>6428571.4299999997</v>
      </c>
      <c r="F98" s="103" t="str">
        <f>HYPERLINK("https://goszakup.gov.kz/ru/announce/index/14488681","Государственные закупки")</f>
        <v>Государственные закупки</v>
      </c>
      <c r="G98" s="105" t="s">
        <v>842</v>
      </c>
      <c r="H98" s="45" t="s">
        <v>637</v>
      </c>
      <c r="I98" s="85" t="s">
        <v>590</v>
      </c>
      <c r="J98" s="17" t="s">
        <v>638</v>
      </c>
      <c r="K98" s="81">
        <v>6400000</v>
      </c>
      <c r="L98" s="79">
        <f t="shared" si="1"/>
        <v>-4.4444446656789665E-3</v>
      </c>
    </row>
    <row r="99" spans="1:12" ht="57.75">
      <c r="A99" s="44">
        <v>45761.650162037004</v>
      </c>
      <c r="B99" s="45" t="s">
        <v>843</v>
      </c>
      <c r="C99" s="45" t="s">
        <v>844</v>
      </c>
      <c r="D99" s="46" t="str">
        <f>HYPERLINK("https://tenderplus.kz/zakupki/45126461","Услуги по обеспечению информационной безопасности")</f>
        <v>Услуги по обеспечению информационной безопасности</v>
      </c>
      <c r="E99" s="47">
        <v>29224951.800000001</v>
      </c>
      <c r="F99" s="103" t="str">
        <f>HYPERLINK("https://zakup.sk.kz/#/ext(popup:item/4006534/lot)","Самрук-Казына")</f>
        <v>Самрук-Казына</v>
      </c>
      <c r="G99" s="103" t="s">
        <v>216</v>
      </c>
      <c r="H99" s="45" t="s">
        <v>626</v>
      </c>
      <c r="I99" s="85" t="s">
        <v>604</v>
      </c>
      <c r="J99" s="18" t="s">
        <v>249</v>
      </c>
      <c r="K99" s="17">
        <v>26302456.620000001</v>
      </c>
      <c r="L99" s="79">
        <f t="shared" si="1"/>
        <v>-9.9999999999999992E-2</v>
      </c>
    </row>
    <row r="100" spans="1:12" ht="29.25">
      <c r="A100" s="44">
        <v>45763.378414352002</v>
      </c>
      <c r="B100" s="45" t="s">
        <v>845</v>
      </c>
      <c r="C100" s="45" t="s">
        <v>846</v>
      </c>
      <c r="D100" s="46" t="str">
        <f>HYPERLINK("https://tenderplus.kz/zakupki/45161722","Услуги по обеспечению информационной безопасности")</f>
        <v>Услуги по обеспечению информационной безопасности</v>
      </c>
      <c r="E100" s="47">
        <v>63845703.840000004</v>
      </c>
      <c r="F100" s="103" t="str">
        <f>HYPERLINK("https://zakup.sk.kz/#/ext(popup:item/4006449/lot)","Самрук-Казына")</f>
        <v>Самрук-Казына</v>
      </c>
      <c r="G100" s="103" t="s">
        <v>216</v>
      </c>
      <c r="H100" s="45" t="s">
        <v>726</v>
      </c>
      <c r="I100" s="85" t="s">
        <v>604</v>
      </c>
      <c r="J100" s="18" t="s">
        <v>820</v>
      </c>
      <c r="K100" s="17">
        <v>63845703.799999997</v>
      </c>
      <c r="L100" s="79">
        <f t="shared" si="1"/>
        <v>-6.2651054261618933E-10</v>
      </c>
    </row>
    <row r="101" spans="1:12" ht="33">
      <c r="A101" s="44">
        <v>45765.375</v>
      </c>
      <c r="B101" s="45" t="s">
        <v>847</v>
      </c>
      <c r="C101" s="45" t="s">
        <v>212</v>
      </c>
      <c r="D101" s="46" t="str">
        <f>HYPERLINK("https://tenderplus.kz/zakupki/45085137","Услуги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101" s="47">
        <v>15741906.26</v>
      </c>
      <c r="F101" s="103" t="str">
        <f>HYPERLINK("https://goszakup.gov.kz/ru/announce/index/14494991","Государственные закупки")</f>
        <v>Государственные закупки</v>
      </c>
      <c r="G101" s="105" t="s">
        <v>848</v>
      </c>
      <c r="H101" s="45" t="s">
        <v>751</v>
      </c>
      <c r="I101" s="85" t="s">
        <v>590</v>
      </c>
      <c r="J101" s="17" t="s">
        <v>615</v>
      </c>
      <c r="K101" s="17">
        <v>11000000</v>
      </c>
      <c r="L101" s="79">
        <f t="shared" si="1"/>
        <v>-0.30122821097271607</v>
      </c>
    </row>
    <row r="102" spans="1:12" ht="33">
      <c r="A102" s="44">
        <v>45765.375</v>
      </c>
      <c r="B102" s="45" t="s">
        <v>849</v>
      </c>
      <c r="C102" s="45" t="s">
        <v>850</v>
      </c>
      <c r="D102" s="46" t="str">
        <f>HYPERLINK("https://tenderplus.kz/zakupki/45080741","Услуги по обеспечению информационной безопасности")</f>
        <v>Услуги по обеспечению информационной безопасности</v>
      </c>
      <c r="E102" s="47">
        <v>26000000</v>
      </c>
      <c r="F102" s="103" t="str">
        <f>HYPERLINK("https://goszakup.gov.kz/ru/announce/index/14495468","Государственные закупки")</f>
        <v>Государственные закупки</v>
      </c>
      <c r="G102" s="103" t="s">
        <v>216</v>
      </c>
      <c r="H102" s="45" t="s">
        <v>851</v>
      </c>
      <c r="I102" s="85" t="s">
        <v>590</v>
      </c>
      <c r="J102" s="17" t="s">
        <v>232</v>
      </c>
      <c r="K102" s="17"/>
      <c r="L102" s="79"/>
    </row>
    <row r="103" spans="1:12" ht="57.75">
      <c r="A103" s="44">
        <v>45765.375</v>
      </c>
      <c r="B103" s="45" t="s">
        <v>813</v>
      </c>
      <c r="C103" s="45" t="s">
        <v>814</v>
      </c>
      <c r="D103" s="46" t="str">
        <f>HYPERLINK("https://tenderplus.kz/zakupki/45234263","Услуги по обеспечению информационной безопасности")</f>
        <v>Услуги по обеспечению информационной безопасности</v>
      </c>
      <c r="E103" s="47">
        <v>27237142.850000001</v>
      </c>
      <c r="F103" s="103" t="str">
        <f>HYPERLINK("https://goszakup.gov.kz/ru/announce/index/14506824","Государственные закупки")</f>
        <v>Государственные закупки</v>
      </c>
      <c r="G103" s="105" t="s">
        <v>815</v>
      </c>
      <c r="H103" s="45" t="s">
        <v>637</v>
      </c>
      <c r="I103" s="85" t="s">
        <v>590</v>
      </c>
      <c r="J103" s="17" t="s">
        <v>852</v>
      </c>
      <c r="K103" s="17">
        <v>27000000</v>
      </c>
      <c r="L103" s="79">
        <f t="shared" si="1"/>
        <v>-8.7065978728382478E-3</v>
      </c>
    </row>
    <row r="104" spans="1:12" ht="16.5">
      <c r="A104" s="44">
        <v>45769.416666666999</v>
      </c>
      <c r="B104" s="45" t="s">
        <v>853</v>
      </c>
      <c r="C104" s="45" t="s">
        <v>535</v>
      </c>
      <c r="D104" s="46" t="str">
        <f>HYPERLINK("https://tenderplus.kz/zakupki/45017002","Услуги по обеспечению информационной безопасности")</f>
        <v>Услуги по обеспечению информационной безопасности</v>
      </c>
      <c r="E104" s="47">
        <v>101708513</v>
      </c>
      <c r="F104" s="103" t="str">
        <f>HYPERLINK("https://zakup.sk.kz/#/ext(popup:item/4018319/lot)","Самрук-Казына")</f>
        <v>Самрук-Казына</v>
      </c>
      <c r="G104" s="103" t="s">
        <v>216</v>
      </c>
      <c r="H104" s="45" t="s">
        <v>595</v>
      </c>
      <c r="I104" s="85" t="s">
        <v>590</v>
      </c>
      <c r="J104" s="17" t="s">
        <v>854</v>
      </c>
      <c r="K104" s="17">
        <v>101708513</v>
      </c>
      <c r="L104" s="79">
        <f t="shared" si="1"/>
        <v>0</v>
      </c>
    </row>
    <row r="105" spans="1:12" ht="33">
      <c r="A105" s="44">
        <v>45771.422233796002</v>
      </c>
      <c r="B105" s="45" t="s">
        <v>806</v>
      </c>
      <c r="C105" s="45" t="s">
        <v>807</v>
      </c>
      <c r="D105" s="46" t="str">
        <f>HYPERLINK("https://tenderplus.kz/zakupki/45327437","Услуги по обеспечению информационной безопасности")</f>
        <v>Услуги по обеспечению информационной безопасности</v>
      </c>
      <c r="E105" s="47">
        <v>20555000</v>
      </c>
      <c r="F105" s="103" t="str">
        <f>HYPERLINK("https://goszakup.gov.kz/ru/announce/index/14602830","Государственные закупки")</f>
        <v>Государственные закупки</v>
      </c>
      <c r="G105" s="103" t="s">
        <v>216</v>
      </c>
      <c r="H105" s="45" t="s">
        <v>637</v>
      </c>
      <c r="I105" s="85" t="s">
        <v>590</v>
      </c>
      <c r="J105" s="17" t="s">
        <v>852</v>
      </c>
      <c r="K105" s="17">
        <v>20550000</v>
      </c>
      <c r="L105" s="79">
        <f t="shared" si="1"/>
        <v>-2.4324981756263683E-4</v>
      </c>
    </row>
    <row r="106" spans="1:12" ht="57.75">
      <c r="A106" s="44">
        <v>45772.375</v>
      </c>
      <c r="B106" s="45" t="s">
        <v>813</v>
      </c>
      <c r="C106" s="45" t="s">
        <v>814</v>
      </c>
      <c r="D106" s="46" t="str">
        <f>HYPERLINK("https://tenderplus.kz/zakupki/45259015","Услуги по обеспечению информационной безопасности")</f>
        <v>Услуги по обеспечению информационной безопасности</v>
      </c>
      <c r="E106" s="47">
        <v>16104606.720000001</v>
      </c>
      <c r="F106" s="103" t="str">
        <f>HYPERLINK("https://goszakup.gov.kz/ru/announce/index/14569269","Государственные закупки")</f>
        <v>Государственные закупки</v>
      </c>
      <c r="G106" s="105" t="s">
        <v>815</v>
      </c>
      <c r="H106" s="45" t="s">
        <v>637</v>
      </c>
      <c r="I106" s="85" t="s">
        <v>590</v>
      </c>
      <c r="J106" s="17" t="s">
        <v>852</v>
      </c>
      <c r="K106" s="17">
        <v>15850000</v>
      </c>
      <c r="L106" s="79">
        <f t="shared" si="1"/>
        <v>-1.580955837212774E-2</v>
      </c>
    </row>
    <row r="107" spans="1:12" ht="33">
      <c r="A107" s="44">
        <v>45772.375</v>
      </c>
      <c r="B107" s="45" t="s">
        <v>855</v>
      </c>
      <c r="C107" s="45" t="s">
        <v>856</v>
      </c>
      <c r="D107" s="46" t="str">
        <f>HYPERLINK("https://tenderplus.kz/zakupki/45282949","Услуги по обеспечению информационной безопасности")</f>
        <v>Услуги по обеспечению информационной безопасности</v>
      </c>
      <c r="E107" s="47">
        <v>30000000</v>
      </c>
      <c r="F107" s="103" t="str">
        <f>HYPERLINK("https://goszakup.gov.kz/ru/announce/index/14581169","Государственные закупки")</f>
        <v>Государственные закупки</v>
      </c>
      <c r="G107" s="110" t="s">
        <v>857</v>
      </c>
      <c r="H107" s="45" t="s">
        <v>858</v>
      </c>
      <c r="I107" s="85" t="s">
        <v>590</v>
      </c>
      <c r="J107" s="17" t="s">
        <v>615</v>
      </c>
      <c r="K107" s="17">
        <v>23350000</v>
      </c>
      <c r="L107" s="79">
        <f t="shared" si="1"/>
        <v>-0.22166666666666668</v>
      </c>
    </row>
    <row r="108" spans="1:12" ht="33">
      <c r="A108" s="44">
        <v>45779.462800925998</v>
      </c>
      <c r="B108" s="45" t="s">
        <v>859</v>
      </c>
      <c r="C108" s="45" t="s">
        <v>860</v>
      </c>
      <c r="D108" s="46" t="str">
        <f>HYPERLINK("https://tenderplus.kz/zakupki/45464789","Услуги по обеспечению информационной безопасности")</f>
        <v>Услуги по обеспечению информационной безопасности</v>
      </c>
      <c r="E108" s="47">
        <v>15776786</v>
      </c>
      <c r="F108" s="103" t="str">
        <f>HYPERLINK("https://goszakup.gov.kz/ru/announce/index/14663004","Государственные закупки")</f>
        <v>Государственные закупки</v>
      </c>
      <c r="G108" s="103" t="s">
        <v>216</v>
      </c>
      <c r="H108" s="45" t="s">
        <v>637</v>
      </c>
      <c r="I108" s="85" t="s">
        <v>590</v>
      </c>
      <c r="J108" s="17" t="s">
        <v>852</v>
      </c>
      <c r="K108" s="17">
        <v>15700000</v>
      </c>
      <c r="L108" s="79">
        <f t="shared" si="1"/>
        <v>-4.8670242468903365E-3</v>
      </c>
    </row>
    <row r="109" spans="1:12" ht="33">
      <c r="A109" s="44">
        <v>45782.456469907003</v>
      </c>
      <c r="B109" s="45" t="s">
        <v>861</v>
      </c>
      <c r="C109" s="45" t="s">
        <v>862</v>
      </c>
      <c r="D109" s="46" t="str">
        <f>HYPERLINK("https://tenderplus.kz/zakupki/45489407","Услуги по обеспечению информационной безопасности")</f>
        <v>Услуги по обеспечению информационной безопасности</v>
      </c>
      <c r="E109" s="47">
        <v>3732142.86</v>
      </c>
      <c r="F109" s="103" t="str">
        <f>HYPERLINK("https://goszakup.gov.kz/ru/announce/index/14673579","Государственные закупки")</f>
        <v>Государственные закупки</v>
      </c>
      <c r="G109" s="110" t="s">
        <v>863</v>
      </c>
      <c r="H109" s="45" t="s">
        <v>637</v>
      </c>
      <c r="I109" s="85" t="s">
        <v>590</v>
      </c>
      <c r="J109" s="17" t="s">
        <v>638</v>
      </c>
      <c r="K109" s="17">
        <v>3700000</v>
      </c>
      <c r="L109" s="79">
        <f t="shared" si="1"/>
        <v>-8.6124409503445087E-3</v>
      </c>
    </row>
    <row r="110" spans="1:12" ht="33">
      <c r="A110" s="44">
        <v>45785.375</v>
      </c>
      <c r="B110" s="45" t="s">
        <v>864</v>
      </c>
      <c r="C110" s="45" t="s">
        <v>865</v>
      </c>
      <c r="D110" s="46" t="str">
        <f>HYPERLINK("https://tenderplus.kz/zakupki/45424827","Услуги по обеспечению информационной безопасности")</f>
        <v>Услуги по обеспечению информационной безопасности</v>
      </c>
      <c r="E110" s="47">
        <v>48333333</v>
      </c>
      <c r="F110" s="103" t="str">
        <f>HYPERLINK("https://goszakup.gov.kz/ru/announce/index/14644508","Государственные закупки")</f>
        <v>Государственные закупки</v>
      </c>
      <c r="G110" s="110" t="s">
        <v>866</v>
      </c>
      <c r="H110" s="45" t="s">
        <v>595</v>
      </c>
      <c r="I110" s="85" t="s">
        <v>590</v>
      </c>
      <c r="J110" s="18" t="s">
        <v>867</v>
      </c>
      <c r="K110" s="17">
        <v>48130000</v>
      </c>
      <c r="L110" s="79">
        <f t="shared" si="1"/>
        <v>-4.2068896841854463E-3</v>
      </c>
    </row>
    <row r="111" spans="1:12" ht="33">
      <c r="A111" s="44">
        <v>45789.375</v>
      </c>
      <c r="B111" s="45" t="s">
        <v>847</v>
      </c>
      <c r="C111" s="45" t="s">
        <v>212</v>
      </c>
      <c r="D111" s="46" t="str">
        <f>HYPERLINK("https://tenderplus.kz/zakupki/45485591","Услуги по обеспечению информационной безопасности")</f>
        <v>Услуги по обеспечению информационной безопасности</v>
      </c>
      <c r="E111" s="47">
        <v>26785714.289999999</v>
      </c>
      <c r="F111" s="103" t="str">
        <f>HYPERLINK("https://goszakup.gov.kz/ru/announce/index/14654882","Государственные закупки")</f>
        <v>Государственные закупки</v>
      </c>
      <c r="G111" s="110" t="s">
        <v>868</v>
      </c>
      <c r="H111" s="45" t="s">
        <v>751</v>
      </c>
      <c r="I111" s="85" t="s">
        <v>590</v>
      </c>
      <c r="J111" s="17" t="s">
        <v>869</v>
      </c>
      <c r="K111" s="17">
        <v>26785700</v>
      </c>
      <c r="L111" s="79">
        <f t="shared" si="1"/>
        <v>-5.3349333321459581E-7</v>
      </c>
    </row>
    <row r="112" spans="1:12" ht="16.5">
      <c r="A112" s="44">
        <v>45790.416666666999</v>
      </c>
      <c r="B112" s="45" t="s">
        <v>870</v>
      </c>
      <c r="C112" s="45" t="s">
        <v>871</v>
      </c>
      <c r="D112" s="46" t="str">
        <f>HYPERLINK("https://tenderplus.kz/zakupki/45439292","Услуги по обеспечению информационной безопасности")</f>
        <v>Услуги по обеспечению информационной безопасности</v>
      </c>
      <c r="E112" s="47">
        <v>58988160</v>
      </c>
      <c r="F112" s="103" t="str">
        <f>HYPERLINK("https://zakup.sk.kz/#/ext(popup:item/4044582/lot)","Самрук-Казына")</f>
        <v>Самрук-Казына</v>
      </c>
      <c r="G112" s="103" t="s">
        <v>216</v>
      </c>
      <c r="H112" s="45" t="s">
        <v>742</v>
      </c>
      <c r="I112" s="85" t="s">
        <v>590</v>
      </c>
      <c r="J112" s="17" t="s">
        <v>800</v>
      </c>
      <c r="K112" s="17">
        <v>41291712</v>
      </c>
      <c r="L112" s="79">
        <f t="shared" si="1"/>
        <v>-0.3</v>
      </c>
    </row>
    <row r="113" spans="1:12" ht="201.75">
      <c r="A113" s="44">
        <v>45810.375</v>
      </c>
      <c r="B113" s="45" t="s">
        <v>746</v>
      </c>
      <c r="C113" s="45" t="s">
        <v>236</v>
      </c>
      <c r="D113" s="46" t="str">
        <f>HYPERLINK("https://tenderplus.kz/zakupki/45816887","Услуги по обеспечению информационной безопасности")</f>
        <v>Услуги по обеспечению информационной безопасности</v>
      </c>
      <c r="E113" s="47">
        <v>158801786</v>
      </c>
      <c r="F113" s="103" t="str">
        <f>HYPERLINK("https://goszakup.gov.kz/ru/announce/index/14813568","Государственные закупки")</f>
        <v>Государственные закупки</v>
      </c>
      <c r="G113" s="105" t="s">
        <v>747</v>
      </c>
      <c r="H113" s="45" t="s">
        <v>595</v>
      </c>
      <c r="I113" s="85" t="s">
        <v>590</v>
      </c>
      <c r="J113" s="17" t="s">
        <v>854</v>
      </c>
      <c r="K113" s="17">
        <v>134823500</v>
      </c>
      <c r="L113" s="79">
        <f t="shared" si="1"/>
        <v>-0.15099506500512533</v>
      </c>
    </row>
    <row r="114" spans="1:12" ht="33">
      <c r="A114" s="44">
        <v>45811.375</v>
      </c>
      <c r="B114" s="45" t="s">
        <v>872</v>
      </c>
      <c r="C114" s="45" t="s">
        <v>873</v>
      </c>
      <c r="D114" s="46" t="str">
        <f>HYPERLINK("https://tenderplus.kz/zakupki/45851595","Услуги по обеспечению информационной безопасности")</f>
        <v>Услуги по обеспечению информационной безопасности</v>
      </c>
      <c r="E114" s="47">
        <v>11946670</v>
      </c>
      <c r="F114" s="103" t="str">
        <f>HYPERLINK("https://goszakup.gov.kz/ru/announce/index/14828845","Государственные закупки")</f>
        <v>Государственные закупки</v>
      </c>
      <c r="G114" s="103" t="s">
        <v>216</v>
      </c>
      <c r="H114" s="45" t="s">
        <v>751</v>
      </c>
      <c r="I114" s="85" t="s">
        <v>590</v>
      </c>
      <c r="J114" s="17" t="s">
        <v>232</v>
      </c>
      <c r="K114" s="17"/>
      <c r="L114" s="79"/>
    </row>
    <row r="115" spans="1:12" ht="16.5">
      <c r="A115" s="44">
        <v>45811.416666666999</v>
      </c>
      <c r="B115" s="45" t="s">
        <v>874</v>
      </c>
      <c r="C115" s="45" t="s">
        <v>875</v>
      </c>
      <c r="D115" s="46" t="str">
        <f>HYPERLINK("https://tenderplus.kz/zakupki/45828409","Услуги по обеспечению информационной безопасности")</f>
        <v>Услуги по обеспечению информационной безопасности</v>
      </c>
      <c r="E115" s="47">
        <v>5596998</v>
      </c>
      <c r="F115" s="103" t="str">
        <f>HYPERLINK("https://zakup.sk.kz/#/ext(popup:item/4079661/lot)","Самрук-Казына")</f>
        <v>Самрук-Казына</v>
      </c>
      <c r="G115" s="103" t="s">
        <v>216</v>
      </c>
      <c r="H115" s="45" t="s">
        <v>595</v>
      </c>
      <c r="I115" s="85" t="s">
        <v>590</v>
      </c>
      <c r="J115" s="17" t="s">
        <v>876</v>
      </c>
      <c r="K115" s="17">
        <v>5514300</v>
      </c>
      <c r="L115" s="79">
        <f t="shared" si="1"/>
        <v>-1.4775420680872139E-2</v>
      </c>
    </row>
    <row r="116" spans="1:12" ht="33">
      <c r="A116" s="44">
        <v>45812.743923611</v>
      </c>
      <c r="B116" s="45" t="s">
        <v>877</v>
      </c>
      <c r="C116" s="45" t="s">
        <v>878</v>
      </c>
      <c r="D116" s="46" t="str">
        <f>HYPERLINK("https://tenderplus.kz/zakupki/45974913","Услуги по обеспечению информационной безопасности")</f>
        <v>Услуги по обеспечению информационной безопасности</v>
      </c>
      <c r="E116" s="47">
        <v>5535714</v>
      </c>
      <c r="F116" s="103" t="str">
        <f>HYPERLINK("https://goszakup.gov.kz/ru/announce/index/14884768","Государственные закупки")</f>
        <v>Государственные закупки</v>
      </c>
      <c r="G116" s="103" t="s">
        <v>216</v>
      </c>
      <c r="H116" s="45" t="s">
        <v>637</v>
      </c>
      <c r="I116" s="85" t="s">
        <v>590</v>
      </c>
      <c r="J116" s="17" t="s">
        <v>638</v>
      </c>
      <c r="K116" s="17">
        <v>5500000</v>
      </c>
      <c r="L116" s="79">
        <f t="shared" si="1"/>
        <v>-6.4515616233064062E-3</v>
      </c>
    </row>
    <row r="117" spans="1:12" ht="33">
      <c r="A117" s="44">
        <v>45812.775833332998</v>
      </c>
      <c r="B117" s="45" t="s">
        <v>879</v>
      </c>
      <c r="C117" s="45" t="s">
        <v>880</v>
      </c>
      <c r="D117" s="46" t="str">
        <f>HYPERLINK("https://tenderplus.kz/zakupki/45975681","Услуги по обеспечению информационной безопасности")</f>
        <v>Услуги по обеспечению информационной безопасности</v>
      </c>
      <c r="E117" s="47">
        <v>2718750</v>
      </c>
      <c r="F117" s="103" t="str">
        <f>HYPERLINK("https://goszakup.gov.kz/ru/announce/index/14885154","Государственные закупки")</f>
        <v>Государственные закупки</v>
      </c>
      <c r="G117" s="110" t="s">
        <v>881</v>
      </c>
      <c r="H117" s="45" t="s">
        <v>637</v>
      </c>
      <c r="I117" s="85" t="s">
        <v>590</v>
      </c>
      <c r="J117" s="17" t="s">
        <v>638</v>
      </c>
      <c r="K117" s="17">
        <v>2700000</v>
      </c>
      <c r="L117" s="79">
        <f t="shared" si="1"/>
        <v>-6.8965517241379309E-3</v>
      </c>
    </row>
    <row r="118" spans="1:12" ht="33">
      <c r="A118" s="44">
        <v>45817.375</v>
      </c>
      <c r="B118" s="45" t="s">
        <v>882</v>
      </c>
      <c r="C118" s="45" t="s">
        <v>883</v>
      </c>
      <c r="D118" s="46" t="str">
        <f>HYPERLINK("https://tenderplus.kz/zakupki/45952051","Услуги по обеспечению информационной безопасности")</f>
        <v>Услуги по обеспечению информационной безопасности</v>
      </c>
      <c r="E118" s="47">
        <v>37732142.850000001</v>
      </c>
      <c r="F118" s="103" t="str">
        <f>HYPERLINK("https://goszakup.gov.kz/ru/announce/index/14871581","Государственные закупки")</f>
        <v>Государственные закупки</v>
      </c>
      <c r="G118" s="103" t="s">
        <v>216</v>
      </c>
      <c r="H118" s="45" t="s">
        <v>595</v>
      </c>
      <c r="I118" s="85" t="s">
        <v>590</v>
      </c>
      <c r="J118" s="17" t="s">
        <v>884</v>
      </c>
      <c r="K118" s="17">
        <v>37428700</v>
      </c>
      <c r="L118" s="79">
        <f t="shared" si="1"/>
        <v>-8.0420253682995241E-3</v>
      </c>
    </row>
    <row r="119" spans="1:12" ht="33">
      <c r="A119" s="44">
        <v>45818.375</v>
      </c>
      <c r="B119" s="45" t="s">
        <v>885</v>
      </c>
      <c r="C119" s="45" t="s">
        <v>886</v>
      </c>
      <c r="D119" s="46" t="str">
        <f>HYPERLINK("https://tenderplus.kz/zakupki/46009917","Услуги по обеспечению информационной безопасности")</f>
        <v>Услуги по обеспечению информационной безопасности</v>
      </c>
      <c r="E119" s="47">
        <v>26041071.43</v>
      </c>
      <c r="F119" s="103" t="str">
        <f>HYPERLINK("https://goszakup.gov.kz/ru/announce/index/14900589","Государственные закупки")</f>
        <v>Государственные закупки</v>
      </c>
      <c r="G119" s="110" t="s">
        <v>866</v>
      </c>
      <c r="H119" s="45" t="s">
        <v>595</v>
      </c>
      <c r="I119" s="85" t="s">
        <v>590</v>
      </c>
      <c r="J119" s="17" t="s">
        <v>541</v>
      </c>
      <c r="K119" s="17">
        <v>26041071.43</v>
      </c>
      <c r="L119" s="79">
        <f t="shared" si="1"/>
        <v>0</v>
      </c>
    </row>
    <row r="120" spans="1:12" ht="33">
      <c r="A120" s="44">
        <v>45819.375</v>
      </c>
      <c r="B120" s="45" t="s">
        <v>887</v>
      </c>
      <c r="C120" s="45" t="s">
        <v>888</v>
      </c>
      <c r="D120" s="46" t="str">
        <f>HYPERLINK("https://tenderplus.kz/zakupki/46030577","Услуги по обеспечению информационной безопасности")</f>
        <v>Услуги по обеспечению информационной безопасности</v>
      </c>
      <c r="E120" s="47">
        <v>25083333</v>
      </c>
      <c r="F120" s="103" t="str">
        <f>HYPERLINK("https://goszakup.gov.kz/ru/announce/index/14910505","Государственные закупки")</f>
        <v>Государственные закупки</v>
      </c>
      <c r="G120" s="103" t="s">
        <v>216</v>
      </c>
      <c r="H120" s="45" t="s">
        <v>595</v>
      </c>
      <c r="I120" s="85" t="s">
        <v>590</v>
      </c>
      <c r="J120" s="17" t="s">
        <v>889</v>
      </c>
      <c r="K120" s="17">
        <v>18000000</v>
      </c>
      <c r="L120" s="79">
        <f t="shared" si="1"/>
        <v>-0.28239201704175437</v>
      </c>
    </row>
    <row r="121" spans="1:12" ht="33">
      <c r="A121" s="44">
        <v>45820.375</v>
      </c>
      <c r="B121" s="45" t="s">
        <v>890</v>
      </c>
      <c r="C121" s="45" t="s">
        <v>891</v>
      </c>
      <c r="D121" s="46" t="str">
        <f>HYPERLINK("https://tenderplus.kz/zakupki/46007669","Услуги по обеспечению информационной безопасности")</f>
        <v>Услуги по обеспечению информационной безопасности</v>
      </c>
      <c r="E121" s="47">
        <v>8350265.1799999997</v>
      </c>
      <c r="F121" s="103" t="str">
        <f>HYPERLINK("https://goszakup.gov.kz/ru/announce/index/14881452","Государственные закупки")</f>
        <v>Государственные закупки</v>
      </c>
      <c r="G121" s="103" t="s">
        <v>216</v>
      </c>
      <c r="H121" s="45" t="s">
        <v>629</v>
      </c>
      <c r="I121" s="85" t="s">
        <v>590</v>
      </c>
      <c r="J121" s="84" t="s">
        <v>892</v>
      </c>
      <c r="K121" s="81">
        <v>8303550</v>
      </c>
      <c r="L121" s="79">
        <f t="shared" si="1"/>
        <v>-5.5944546661690214E-3</v>
      </c>
    </row>
    <row r="122" spans="1:12" ht="33">
      <c r="A122" s="44">
        <v>45821.375</v>
      </c>
      <c r="B122" s="45" t="s">
        <v>893</v>
      </c>
      <c r="C122" s="45" t="s">
        <v>894</v>
      </c>
      <c r="D122" s="46" t="str">
        <f>HYPERLINK("https://tenderplus.kz/zakupki/45975144","Услуги по обеспечению информационной безопасности")</f>
        <v>Услуги по обеспечению информационной безопасности</v>
      </c>
      <c r="E122" s="47">
        <v>35142857.140000001</v>
      </c>
      <c r="F122" s="103" t="str">
        <f>HYPERLINK("https://goszakup.gov.kz/ru/announce/index/14884010","Государственные закупки")</f>
        <v>Государственные закупки</v>
      </c>
      <c r="G122" s="103" t="s">
        <v>216</v>
      </c>
      <c r="H122" s="45" t="s">
        <v>595</v>
      </c>
      <c r="I122" s="85" t="s">
        <v>590</v>
      </c>
      <c r="J122" s="17" t="s">
        <v>259</v>
      </c>
      <c r="K122" s="17">
        <v>17571428</v>
      </c>
      <c r="L122" s="79">
        <f t="shared" si="1"/>
        <v>-0.50000001621951218</v>
      </c>
    </row>
    <row r="123" spans="1:12" ht="33">
      <c r="A123" s="44">
        <v>45824.723993056003</v>
      </c>
      <c r="B123" s="45" t="s">
        <v>849</v>
      </c>
      <c r="C123" s="45" t="s">
        <v>850</v>
      </c>
      <c r="D123" s="46" t="str">
        <f>HYPERLINK("https://tenderplus.kz/zakupki/46105640","Услуги по обеспечению информационной безопасности")</f>
        <v>Услуги по обеспечению информационной безопасности</v>
      </c>
      <c r="E123" s="47">
        <v>26000000</v>
      </c>
      <c r="F123" s="103" t="str">
        <f>HYPERLINK("https://goszakup.gov.kz/ru/announce/index/14942380","Государственные закупки")</f>
        <v>Государственные закупки</v>
      </c>
      <c r="G123" s="103" t="s">
        <v>216</v>
      </c>
      <c r="H123" s="45" t="s">
        <v>851</v>
      </c>
      <c r="I123" s="85" t="s">
        <v>590</v>
      </c>
      <c r="J123" s="17" t="s">
        <v>232</v>
      </c>
      <c r="K123" s="17"/>
      <c r="L123" s="79"/>
    </row>
    <row r="124" spans="1:12" ht="33">
      <c r="A124" s="44">
        <v>45825.375</v>
      </c>
      <c r="B124" s="45" t="s">
        <v>895</v>
      </c>
      <c r="C124" s="45" t="s">
        <v>896</v>
      </c>
      <c r="D124" s="46" t="str">
        <f>HYPERLINK("https://tenderplus.kz/zakupki/46063076","Услуги по обеспечению информационной безопасности")</f>
        <v>Услуги по обеспечению информационной безопасности</v>
      </c>
      <c r="E124" s="47">
        <v>9311667</v>
      </c>
      <c r="F124" s="103" t="str">
        <f>HYPERLINK("https://goszakup.gov.kz/ru/announce/index/14904901","Государственные закупки")</f>
        <v>Государственные закупки</v>
      </c>
      <c r="G124" s="110" t="s">
        <v>897</v>
      </c>
      <c r="H124" s="45" t="s">
        <v>662</v>
      </c>
      <c r="I124" s="85" t="s">
        <v>590</v>
      </c>
      <c r="J124" s="17" t="s">
        <v>232</v>
      </c>
      <c r="K124" s="17"/>
      <c r="L124" s="79"/>
    </row>
    <row r="125" spans="1:12" ht="33">
      <c r="A125" s="44">
        <v>45827.680555555999</v>
      </c>
      <c r="B125" s="45" t="s">
        <v>847</v>
      </c>
      <c r="C125" s="45" t="s">
        <v>212</v>
      </c>
      <c r="D125" s="46" t="str">
        <f>HYPERLINK("https://tenderplus.kz/zakupki/46151215","Услуги по обеспечению информационной безопасности")</f>
        <v>Услуги по обеспечению информационной безопасности</v>
      </c>
      <c r="E125" s="47">
        <v>26371428.57</v>
      </c>
      <c r="F125" s="103" t="str">
        <f>HYPERLINK("https://goszakup.gov.kz/ru/announce/index/14965033","Государственные закупки")</f>
        <v>Государственные закупки</v>
      </c>
      <c r="G125" s="110" t="s">
        <v>868</v>
      </c>
      <c r="H125" s="45" t="s">
        <v>751</v>
      </c>
      <c r="I125" s="85" t="s">
        <v>590</v>
      </c>
      <c r="J125" s="17" t="s">
        <v>232</v>
      </c>
      <c r="K125" s="17"/>
      <c r="L125" s="79"/>
    </row>
    <row r="126" spans="1:12" ht="33">
      <c r="A126" s="44">
        <v>45834.678217592998</v>
      </c>
      <c r="B126" s="45" t="s">
        <v>898</v>
      </c>
      <c r="C126" s="45" t="s">
        <v>899</v>
      </c>
      <c r="D126" s="46" t="str">
        <f>HYPERLINK("https://tenderplus.kz/zakupki/46115761","Услуги по обеспечению информационной безопасности")</f>
        <v>Услуги по обеспечению информационной безопасности</v>
      </c>
      <c r="E126" s="47">
        <v>70000000</v>
      </c>
      <c r="F126" s="103" t="str">
        <f>HYPERLINK("https://goszakup.gov.kz/ru/announce/index/14941663","Государственные закупки")</f>
        <v>Государственные закупки</v>
      </c>
      <c r="G126" s="110" t="s">
        <v>866</v>
      </c>
      <c r="H126" s="45" t="s">
        <v>595</v>
      </c>
      <c r="I126" s="85" t="s">
        <v>590</v>
      </c>
      <c r="J126" s="17" t="s">
        <v>232</v>
      </c>
      <c r="K126" s="17"/>
      <c r="L126" s="79"/>
    </row>
    <row r="127" spans="1:12" ht="16.5">
      <c r="A127" s="44">
        <v>45838.416666666999</v>
      </c>
      <c r="B127" s="45" t="s">
        <v>600</v>
      </c>
      <c r="C127" s="45" t="s">
        <v>601</v>
      </c>
      <c r="D127" s="46" t="str">
        <f>HYPERLINK("https://tenderplus.kz/zakupki/46246610","Услуги по обеспечению информационной безопасности")</f>
        <v>Услуги по обеспечению информационной безопасности</v>
      </c>
      <c r="E127" s="47">
        <v>120000000</v>
      </c>
      <c r="F127" s="103" t="str">
        <f>HYPERLINK("https://eep.mitwork.kz/ru/publics/lot/555727","Mitwork")</f>
        <v>Mitwork</v>
      </c>
      <c r="G127" s="103" t="s">
        <v>216</v>
      </c>
      <c r="H127" s="45" t="s">
        <v>595</v>
      </c>
      <c r="I127" s="85" t="s">
        <v>604</v>
      </c>
      <c r="J127" s="17" t="s">
        <v>615</v>
      </c>
      <c r="K127" s="17">
        <v>119000000</v>
      </c>
      <c r="L127" s="79">
        <f t="shared" ref="L123:L149" si="2">(K127-E127)/E127</f>
        <v>-8.3333333333333332E-3</v>
      </c>
    </row>
    <row r="128" spans="1:12" ht="33">
      <c r="A128" s="44">
        <v>45840.375</v>
      </c>
      <c r="B128" s="45" t="s">
        <v>900</v>
      </c>
      <c r="C128" s="45" t="s">
        <v>901</v>
      </c>
      <c r="D128" s="46" t="str">
        <f>HYPERLINK("https://tenderplus.kz/zakupki/46236935","Услуги по обеспечению информационной безопасности")</f>
        <v>Услуги по обеспечению информационной безопасности</v>
      </c>
      <c r="E128" s="47">
        <v>53660714.280000001</v>
      </c>
      <c r="F128" s="103" t="str">
        <f>HYPERLINK("https://goszakup.gov.kz/ru/announce/index/14933401","Государственные закупки")</f>
        <v>Государственные закупки</v>
      </c>
      <c r="G128" s="110" t="s">
        <v>866</v>
      </c>
      <c r="H128" s="45" t="s">
        <v>595</v>
      </c>
      <c r="I128" s="85" t="s">
        <v>590</v>
      </c>
      <c r="J128" s="17" t="s">
        <v>259</v>
      </c>
      <c r="K128" s="17">
        <v>32196429</v>
      </c>
      <c r="L128" s="79">
        <f t="shared" si="2"/>
        <v>-0.39999999194941765</v>
      </c>
    </row>
    <row r="129" spans="1:12" ht="33">
      <c r="A129" s="44">
        <v>45841.375</v>
      </c>
      <c r="B129" s="45" t="s">
        <v>902</v>
      </c>
      <c r="C129" s="45" t="s">
        <v>903</v>
      </c>
      <c r="D129" s="46" t="str">
        <f>HYPERLINK("https://tenderplus.kz/zakupki/46299528","Услуги по обеспечению безопасности Услуги по обеспечению безопасности и мониторинга устройствами предупреждения, сигнализации и аналогичными системами обеспечения безопасности")</f>
        <v>Услуги по обеспечению безопасности Услуги по обеспечению безопасности и мониторинга устройствами предупреждения, сигнализации и аналогичными системами обеспечения безопасности</v>
      </c>
      <c r="E129" s="47">
        <v>24900000</v>
      </c>
      <c r="F129" s="103" t="str">
        <f>HYPERLINK("https://goszakup.gov.kz/ru/announce/index/15031135","Государственные закупки")</f>
        <v>Государственные закупки</v>
      </c>
      <c r="G129" s="103" t="s">
        <v>216</v>
      </c>
      <c r="H129" s="45" t="s">
        <v>589</v>
      </c>
      <c r="I129" s="85" t="s">
        <v>590</v>
      </c>
      <c r="J129" s="17" t="s">
        <v>904</v>
      </c>
      <c r="K129" s="17">
        <v>20100000</v>
      </c>
      <c r="L129" s="79">
        <f t="shared" si="2"/>
        <v>-0.19277108433734941</v>
      </c>
    </row>
    <row r="130" spans="1:12" ht="33">
      <c r="A130" s="44">
        <v>45842.375</v>
      </c>
      <c r="B130" s="45" t="s">
        <v>905</v>
      </c>
      <c r="C130" s="45" t="s">
        <v>906</v>
      </c>
      <c r="D130" s="46" t="str">
        <f>HYPERLINK("https://tenderplus.kz/zakupki/46278691","Услуги по обеспечению информационной безопасности")</f>
        <v>Услуги по обеспечению информационной безопасности</v>
      </c>
      <c r="E130" s="47">
        <v>10790000</v>
      </c>
      <c r="F130" s="103" t="str">
        <f>HYPERLINK("https://goszakup.gov.kz/ru/announce/index/15021960","Государственные закупки")</f>
        <v>Государственные закупки</v>
      </c>
      <c r="G130" s="103" t="s">
        <v>216</v>
      </c>
      <c r="H130" s="45" t="s">
        <v>751</v>
      </c>
      <c r="I130" s="85" t="s">
        <v>590</v>
      </c>
      <c r="J130" s="17" t="s">
        <v>794</v>
      </c>
      <c r="K130" s="17">
        <v>10300000</v>
      </c>
      <c r="L130" s="79">
        <f t="shared" si="2"/>
        <v>-4.5412418906394809E-2</v>
      </c>
    </row>
    <row r="131" spans="1:12" ht="33">
      <c r="A131" s="44">
        <v>45846.720960648003</v>
      </c>
      <c r="B131" s="45" t="s">
        <v>907</v>
      </c>
      <c r="C131" s="45" t="s">
        <v>908</v>
      </c>
      <c r="D131" s="46" t="str">
        <f>HYPERLINK("https://tenderplus.kz/zakupki/46343588","Услуги по обеспечению информационной безопасности")</f>
        <v>Услуги по обеспечению информационной безопасности</v>
      </c>
      <c r="E131" s="47">
        <v>15294642.859999999</v>
      </c>
      <c r="F131" s="103" t="str">
        <f>HYPERLINK("https://goszakup.gov.kz/ru/announce/index/15052618","Государственные закупки")</f>
        <v>Государственные закупки</v>
      </c>
      <c r="G131" s="110" t="s">
        <v>863</v>
      </c>
      <c r="H131" s="45" t="s">
        <v>637</v>
      </c>
      <c r="I131" s="85" t="s">
        <v>590</v>
      </c>
      <c r="J131" s="17" t="s">
        <v>638</v>
      </c>
      <c r="K131" s="81">
        <v>15200000</v>
      </c>
      <c r="L131" s="79">
        <f t="shared" si="2"/>
        <v>-6.1879744997196621E-3</v>
      </c>
    </row>
    <row r="132" spans="1:12" ht="33">
      <c r="A132" s="44">
        <v>45847.375</v>
      </c>
      <c r="B132" s="45" t="s">
        <v>872</v>
      </c>
      <c r="C132" s="45" t="s">
        <v>873</v>
      </c>
      <c r="D132" s="46" t="str">
        <f>HYPERLINK("https://tenderplus.kz/zakupki/46315180","Услуги по обеспечению информационной безопасности")</f>
        <v>Услуги по обеспечению информационной безопасности</v>
      </c>
      <c r="E132" s="47">
        <v>11946670</v>
      </c>
      <c r="F132" s="103" t="str">
        <f>HYPERLINK("https://goszakup.gov.kz/ru/announce/index/15038399","Государственные закупки")</f>
        <v>Государственные закупки</v>
      </c>
      <c r="G132" s="103" t="s">
        <v>216</v>
      </c>
      <c r="H132" s="45" t="s">
        <v>751</v>
      </c>
      <c r="I132" s="85" t="s">
        <v>590</v>
      </c>
      <c r="J132" s="17" t="s">
        <v>615</v>
      </c>
      <c r="K132" s="17">
        <v>6000000</v>
      </c>
      <c r="L132" s="79">
        <f t="shared" si="2"/>
        <v>-0.49776799727455434</v>
      </c>
    </row>
    <row r="133" spans="1:12" ht="43.5">
      <c r="A133" s="44">
        <v>45847.375</v>
      </c>
      <c r="B133" s="45" t="s">
        <v>909</v>
      </c>
      <c r="C133" s="45" t="s">
        <v>910</v>
      </c>
      <c r="D133" s="46" t="str">
        <f>HYPERLINK("https://tenderplus.kz/zakupki/46340637","Услуги по обеспечению информационной безопасности")</f>
        <v>Услуги по обеспечению информационной безопасности</v>
      </c>
      <c r="E133" s="47">
        <v>21500000</v>
      </c>
      <c r="F133" s="103" t="str">
        <f>HYPERLINK("https://goszakup.gov.kz/ru/announce/index/15036974","Государственные закупки")</f>
        <v>Государственные закупки</v>
      </c>
      <c r="G133" s="110" t="s">
        <v>911</v>
      </c>
      <c r="H133" s="45" t="s">
        <v>589</v>
      </c>
      <c r="I133" s="85" t="s">
        <v>590</v>
      </c>
      <c r="J133" s="18" t="s">
        <v>760</v>
      </c>
      <c r="K133" s="17">
        <v>21300000</v>
      </c>
      <c r="L133" s="79">
        <f t="shared" si="2"/>
        <v>-9.3023255813953487E-3</v>
      </c>
    </row>
    <row r="134" spans="1:12" ht="33">
      <c r="A134" s="44">
        <v>45848.392546296003</v>
      </c>
      <c r="B134" s="45" t="s">
        <v>895</v>
      </c>
      <c r="C134" s="45" t="s">
        <v>896</v>
      </c>
      <c r="D134" s="46" t="str">
        <f>HYPERLINK("https://tenderplus.kz/zakupki/46361828","Услуги по обеспечению информационной безопасности")</f>
        <v>Услуги по обеспечению информационной безопасности</v>
      </c>
      <c r="E134" s="47">
        <v>9311667</v>
      </c>
      <c r="F134" s="103" t="str">
        <f>HYPERLINK("https://goszakup.gov.kz/ru/announce/index/15060855","Государственные закупки")</f>
        <v>Государственные закупки</v>
      </c>
      <c r="G134" s="110" t="s">
        <v>897</v>
      </c>
      <c r="H134" s="45" t="s">
        <v>662</v>
      </c>
      <c r="I134" s="85" t="s">
        <v>590</v>
      </c>
      <c r="J134" s="81" t="s">
        <v>800</v>
      </c>
      <c r="K134" s="17">
        <v>4831337</v>
      </c>
      <c r="L134" s="79">
        <f t="shared" si="2"/>
        <v>-0.4811523006567997</v>
      </c>
    </row>
    <row r="135" spans="1:12" ht="33">
      <c r="A135" s="44">
        <v>45849.619421296004</v>
      </c>
      <c r="B135" s="45" t="s">
        <v>912</v>
      </c>
      <c r="C135" s="45" t="s">
        <v>913</v>
      </c>
      <c r="D135" s="46" t="str">
        <f>HYPERLINK("https://tenderplus.kz/zakupki/46382959","Услуги по обеспечению информационной безопасности")</f>
        <v>Услуги по обеспечению информационной безопасности</v>
      </c>
      <c r="E135" s="47">
        <v>5346523</v>
      </c>
      <c r="F135" s="103" t="str">
        <f>HYPERLINK("https://goszakup.gov.kz/ru/announce/index/15070806","Государственные закупки")</f>
        <v>Государственные закупки</v>
      </c>
      <c r="G135" s="103" t="s">
        <v>216</v>
      </c>
      <c r="H135" s="45" t="s">
        <v>589</v>
      </c>
      <c r="I135" s="85" t="s">
        <v>590</v>
      </c>
      <c r="J135" s="17" t="s">
        <v>914</v>
      </c>
      <c r="K135" s="17">
        <v>5346000</v>
      </c>
      <c r="L135" s="79">
        <f t="shared" si="2"/>
        <v>-9.7820583583012734E-5</v>
      </c>
    </row>
    <row r="136" spans="1:12" ht="33">
      <c r="A136" s="44">
        <v>45852.375</v>
      </c>
      <c r="B136" s="45" t="s">
        <v>813</v>
      </c>
      <c r="C136" s="45" t="s">
        <v>814</v>
      </c>
      <c r="D136" s="46" t="str">
        <f>HYPERLINK("https://tenderplus.kz/zakupki/46382398","Услуги по обеспечению информационной безопасности")</f>
        <v>Услуги по обеспечению информационной безопасности</v>
      </c>
      <c r="E136" s="47">
        <v>3000000</v>
      </c>
      <c r="F136" s="103" t="str">
        <f>HYPERLINK("https://goszakup.gov.kz/ru/announce/index/15070413","Государственные закупки")</f>
        <v>Государственные закупки</v>
      </c>
      <c r="G136" s="110" t="s">
        <v>915</v>
      </c>
      <c r="H136" s="45" t="s">
        <v>637</v>
      </c>
      <c r="I136" s="85" t="s">
        <v>590</v>
      </c>
      <c r="J136" s="17" t="s">
        <v>638</v>
      </c>
      <c r="K136" s="17">
        <v>3000000</v>
      </c>
      <c r="L136" s="79">
        <f t="shared" si="2"/>
        <v>0</v>
      </c>
    </row>
    <row r="137" spans="1:12" ht="43.5">
      <c r="A137" s="44">
        <v>45853.375</v>
      </c>
      <c r="B137" s="45" t="s">
        <v>702</v>
      </c>
      <c r="C137" s="45" t="s">
        <v>703</v>
      </c>
      <c r="D137" s="46" t="str">
        <f>HYPERLINK("https://tenderplus.kz/zakupki/46341921","Услуги по обеспечению информационной безопасности")</f>
        <v>Услуги по обеспечению информационной безопасности</v>
      </c>
      <c r="E137" s="47">
        <v>130916666.67</v>
      </c>
      <c r="F137" s="103" t="str">
        <f>HYPERLINK("https://goszakup.gov.kz/ru/announce/index/15044430","Государственные закупки")</f>
        <v>Государственные закупки</v>
      </c>
      <c r="G137" s="110" t="s">
        <v>866</v>
      </c>
      <c r="H137" s="45" t="s">
        <v>595</v>
      </c>
      <c r="I137" s="85" t="s">
        <v>590</v>
      </c>
      <c r="J137" s="18" t="s">
        <v>916</v>
      </c>
      <c r="K137" s="17">
        <v>130716666.67</v>
      </c>
      <c r="L137" s="79">
        <f t="shared" si="2"/>
        <v>-1.5276893697892377E-3</v>
      </c>
    </row>
    <row r="138" spans="1:12" ht="43.5">
      <c r="A138" s="44">
        <v>45860.375</v>
      </c>
      <c r="B138" s="45" t="s">
        <v>917</v>
      </c>
      <c r="C138" s="45" t="s">
        <v>918</v>
      </c>
      <c r="D138" s="46" t="str">
        <f>HYPERLINK("https://tenderplus.kz/zakupki/46426289","Услуги по обеспечению информационной безопасности")</f>
        <v>Услуги по обеспечению информационной безопасности</v>
      </c>
      <c r="E138" s="47">
        <v>5716662</v>
      </c>
      <c r="F138" s="103" t="str">
        <f>HYPERLINK("https://goszakup.gov.kz/ru/announce/index/15092691","Государственные закупки")</f>
        <v>Государственные закупки</v>
      </c>
      <c r="G138" s="103" t="s">
        <v>216</v>
      </c>
      <c r="H138" s="45" t="s">
        <v>812</v>
      </c>
      <c r="I138" s="85" t="s">
        <v>590</v>
      </c>
      <c r="J138" s="18" t="s">
        <v>916</v>
      </c>
      <c r="K138" s="17">
        <v>5650000</v>
      </c>
      <c r="L138" s="79">
        <f t="shared" si="2"/>
        <v>-1.166100077282862E-2</v>
      </c>
    </row>
    <row r="139" spans="1:12" ht="33">
      <c r="A139" s="44">
        <v>45873.375</v>
      </c>
      <c r="B139" s="45" t="s">
        <v>919</v>
      </c>
      <c r="C139" s="45" t="s">
        <v>920</v>
      </c>
      <c r="D139" s="46" t="str">
        <f>HYPERLINK("https://tenderplus.kz/zakupki/46556675","Услуги по обеспечению информационной безопасности")</f>
        <v>Услуги по обеспечению информационной безопасности</v>
      </c>
      <c r="E139" s="47">
        <v>5074020</v>
      </c>
      <c r="F139" s="103" t="str">
        <f>HYPERLINK("https://goszakup.gov.kz/ru/announce/index/15154321","Государственные закупки")</f>
        <v>Государственные закупки</v>
      </c>
      <c r="G139" s="110" t="s">
        <v>921</v>
      </c>
      <c r="H139" s="45" t="s">
        <v>662</v>
      </c>
      <c r="I139" s="85" t="s">
        <v>590</v>
      </c>
      <c r="J139" s="17" t="s">
        <v>541</v>
      </c>
      <c r="K139" s="17">
        <v>5070000</v>
      </c>
      <c r="L139" s="79">
        <f t="shared" si="2"/>
        <v>-7.9227121690493931E-4</v>
      </c>
    </row>
    <row r="140" spans="1:12" ht="33">
      <c r="A140" s="44">
        <v>45875.375</v>
      </c>
      <c r="B140" s="45" t="s">
        <v>922</v>
      </c>
      <c r="C140" s="45" t="s">
        <v>923</v>
      </c>
      <c r="D140" s="46" t="str">
        <f>HYPERLINK("https://tenderplus.kz/zakupki/46621829","Услуги по обеспечению информационной безопасности")</f>
        <v>Услуги по обеспечению информационной безопасности</v>
      </c>
      <c r="E140" s="47">
        <v>35714285.710000001</v>
      </c>
      <c r="F140" s="103" t="str">
        <f>HYPERLINK("https://goszakup.gov.kz/ru/announce/index/15185127","Государственные закупки")</f>
        <v>Государственные закупки</v>
      </c>
      <c r="G140" s="103" t="s">
        <v>216</v>
      </c>
      <c r="H140" s="45" t="s">
        <v>633</v>
      </c>
      <c r="I140" s="85" t="s">
        <v>590</v>
      </c>
      <c r="J140" s="17" t="s">
        <v>748</v>
      </c>
      <c r="K140" s="81">
        <v>35714000</v>
      </c>
      <c r="L140" s="79">
        <f t="shared" si="2"/>
        <v>-7.9998800009850194E-6</v>
      </c>
    </row>
    <row r="141" spans="1:12" ht="57.75">
      <c r="A141" s="44">
        <v>45877.208333333001</v>
      </c>
      <c r="B141" s="45" t="s">
        <v>924</v>
      </c>
      <c r="C141" s="45" t="s">
        <v>271</v>
      </c>
      <c r="D141" s="46" t="str">
        <f>HYPERLINK("https://tenderplus.kz/zakupki/46663547","Услуги по обеспечению информационной безопасности")</f>
        <v>Услуги по обеспечению информационной безопасности</v>
      </c>
      <c r="E141" s="47">
        <v>347992380</v>
      </c>
      <c r="F141" s="103" t="str">
        <f>HYPERLINK("https://zakup.sk.kz/#/ext(popup:item/4139690/lot)","Самрук-Казына")</f>
        <v>Самрук-Казына</v>
      </c>
      <c r="G141" s="103" t="s">
        <v>216</v>
      </c>
      <c r="H141" s="45" t="s">
        <v>595</v>
      </c>
      <c r="I141" s="85" t="s">
        <v>604</v>
      </c>
      <c r="J141" s="18" t="s">
        <v>249</v>
      </c>
      <c r="K141" s="17">
        <v>347992380</v>
      </c>
      <c r="L141" s="79">
        <f t="shared" si="2"/>
        <v>0</v>
      </c>
    </row>
    <row r="142" spans="1:12" ht="33">
      <c r="A142" s="44">
        <v>45880.579861111</v>
      </c>
      <c r="B142" s="45" t="s">
        <v>925</v>
      </c>
      <c r="C142" s="45" t="s">
        <v>926</v>
      </c>
      <c r="D142" s="46" t="str">
        <f>HYPERLINK("https://tenderplus.kz/zakupki/46805444","Информационная безопасность")</f>
        <v>Информационная безопасность</v>
      </c>
      <c r="E142" s="47">
        <v>3667821.91</v>
      </c>
      <c r="F142" s="103" t="str">
        <f>HYPERLINK("https://etbemp.kz/ru/tender/Go/29632","Электронная торговая площадка ЕТБ")</f>
        <v>Электронная торговая площадка ЕТБ</v>
      </c>
      <c r="G142" s="241" t="s">
        <v>927</v>
      </c>
      <c r="H142" s="45" t="s">
        <v>742</v>
      </c>
      <c r="I142" s="85" t="s">
        <v>604</v>
      </c>
      <c r="J142" s="82" t="s">
        <v>928</v>
      </c>
      <c r="K142" s="17"/>
      <c r="L142" s="79"/>
    </row>
    <row r="143" spans="1:12" ht="33">
      <c r="A143" s="44">
        <v>45880.579861111</v>
      </c>
      <c r="B143" s="45" t="s">
        <v>925</v>
      </c>
      <c r="C143" s="45" t="s">
        <v>926</v>
      </c>
      <c r="D143" s="46" t="str">
        <f>HYPERLINK("https://tenderplus.kz/zakupki/46805443","Информационная безопасность")</f>
        <v>Информационная безопасность</v>
      </c>
      <c r="E143" s="47">
        <v>5889179</v>
      </c>
      <c r="F143" s="103" t="str">
        <f>HYPERLINK("https://etbemp.kz/ru/tender/Go/29632","Электронная торговая площадка ЕТБ")</f>
        <v>Электронная торговая площадка ЕТБ</v>
      </c>
      <c r="G143" s="242"/>
      <c r="H143" s="45" t="s">
        <v>742</v>
      </c>
      <c r="I143" s="85" t="s">
        <v>604</v>
      </c>
      <c r="J143" s="82" t="s">
        <v>928</v>
      </c>
      <c r="K143" s="17"/>
      <c r="L143" s="79"/>
    </row>
    <row r="144" spans="1:12" ht="33">
      <c r="A144" s="44">
        <v>45884.375</v>
      </c>
      <c r="B144" s="45" t="s">
        <v>847</v>
      </c>
      <c r="C144" s="45" t="s">
        <v>212</v>
      </c>
      <c r="D144" s="46" t="str">
        <f>HYPERLINK("https://tenderplus.kz/zakupki/46711668","Услуги по обеспечению информационной безопасности")</f>
        <v>Услуги по обеспечению информационной безопасности</v>
      </c>
      <c r="E144" s="47">
        <v>26371428.57</v>
      </c>
      <c r="F144" s="103" t="str">
        <f>HYPERLINK("https://goszakup.gov.kz/ru/announce/index/15228409","Государственные закупки")</f>
        <v>Государственные закупки</v>
      </c>
      <c r="G144" s="110" t="s">
        <v>868</v>
      </c>
      <c r="H144" s="45" t="s">
        <v>751</v>
      </c>
      <c r="I144" s="85" t="s">
        <v>590</v>
      </c>
      <c r="J144" s="18" t="s">
        <v>929</v>
      </c>
      <c r="K144" s="81">
        <v>24200000</v>
      </c>
      <c r="L144" s="79">
        <f t="shared" si="2"/>
        <v>-8.2340194966540645E-2</v>
      </c>
    </row>
    <row r="145" spans="1:12" ht="57.75">
      <c r="A145" s="44">
        <v>45887.375</v>
      </c>
      <c r="B145" s="45" t="s">
        <v>898</v>
      </c>
      <c r="C145" s="45" t="s">
        <v>899</v>
      </c>
      <c r="D145" s="46" t="str">
        <f>HYPERLINK("https://tenderplus.kz/zakupki/46723474","Услуги по обеспечению информационной безопасности")</f>
        <v>Услуги по обеспечению информационной безопасности</v>
      </c>
      <c r="E145" s="47">
        <v>70000000</v>
      </c>
      <c r="F145" s="103" t="str">
        <f>HYPERLINK("https://goszakup.gov.kz/ru/announce/index/15234246","Государственные закупки")</f>
        <v>Государственные закупки</v>
      </c>
      <c r="G145" s="110" t="s">
        <v>866</v>
      </c>
      <c r="H145" s="45" t="s">
        <v>595</v>
      </c>
      <c r="I145" s="86" t="s">
        <v>930</v>
      </c>
      <c r="J145" s="18" t="s">
        <v>249</v>
      </c>
      <c r="K145" s="17">
        <v>48500000</v>
      </c>
      <c r="L145" s="79">
        <f t="shared" si="2"/>
        <v>-0.30714285714285716</v>
      </c>
    </row>
    <row r="146" spans="1:12" ht="201.75">
      <c r="A146" s="44">
        <v>45888.375</v>
      </c>
      <c r="B146" s="45" t="s">
        <v>746</v>
      </c>
      <c r="C146" s="45" t="s">
        <v>236</v>
      </c>
      <c r="D146" s="46" t="str">
        <f>HYPERLINK("https://tenderplus.kz/zakupki/46680406","Услуги по обеспечению информационной безопасности")</f>
        <v>Услуги по обеспечению информационной безопасности</v>
      </c>
      <c r="E146" s="47">
        <v>127120950</v>
      </c>
      <c r="F146" s="103" t="str">
        <f>HYPERLINK("https://goszakup.gov.kz/ru/announce/index/15213652","Государственные закупки")</f>
        <v>Государственные закупки</v>
      </c>
      <c r="G146" s="105" t="s">
        <v>747</v>
      </c>
      <c r="H146" s="45" t="s">
        <v>595</v>
      </c>
      <c r="I146" s="85" t="s">
        <v>590</v>
      </c>
      <c r="J146" s="17" t="s">
        <v>615</v>
      </c>
      <c r="K146" s="17">
        <v>92150000</v>
      </c>
      <c r="L146" s="79">
        <f t="shared" si="2"/>
        <v>-0.27509981635599795</v>
      </c>
    </row>
    <row r="147" spans="1:12" ht="33">
      <c r="A147" s="44">
        <v>45891.512650463003</v>
      </c>
      <c r="B147" s="45" t="s">
        <v>931</v>
      </c>
      <c r="C147" s="45" t="s">
        <v>932</v>
      </c>
      <c r="D147" s="46" t="str">
        <f>HYPERLINK("https://tenderplus.kz/zakupki/46804511","Услуги по обеспечению информационной безопасности")</f>
        <v>Услуги по обеспечению информационной безопасности</v>
      </c>
      <c r="E147" s="47">
        <v>16651785.710000001</v>
      </c>
      <c r="F147" s="103" t="str">
        <f>HYPERLINK("https://goszakup.gov.kz/ru/announce/index/15270222","Государственные закупки")</f>
        <v>Государственные закупки</v>
      </c>
      <c r="G147" s="103" t="s">
        <v>216</v>
      </c>
      <c r="H147" s="45" t="s">
        <v>595</v>
      </c>
      <c r="I147" s="85" t="s">
        <v>590</v>
      </c>
      <c r="J147" s="17" t="s">
        <v>933</v>
      </c>
      <c r="K147" s="81">
        <v>14800000</v>
      </c>
      <c r="L147" s="79">
        <f t="shared" si="2"/>
        <v>-0.11120643408760278</v>
      </c>
    </row>
    <row r="148" spans="1:12" ht="33">
      <c r="A148" s="44">
        <v>45898.679351851999</v>
      </c>
      <c r="B148" s="45" t="s">
        <v>934</v>
      </c>
      <c r="C148" s="45" t="s">
        <v>935</v>
      </c>
      <c r="D148" s="46" t="str">
        <f>HYPERLINK("https://tenderplus.kz/zakupki/47045395","Услуги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148" s="47">
        <v>2000000</v>
      </c>
      <c r="F148" s="103" t="str">
        <f>HYPERLINK("https://goszakup.gov.kz/ru/announce/index/15303670","Государственные закупки")</f>
        <v>Государственные закупки</v>
      </c>
      <c r="G148" s="103" t="s">
        <v>216</v>
      </c>
      <c r="H148" s="45" t="s">
        <v>662</v>
      </c>
      <c r="I148" s="85" t="s">
        <v>590</v>
      </c>
      <c r="J148" s="18" t="s">
        <v>936</v>
      </c>
      <c r="K148" s="17">
        <v>1990000</v>
      </c>
      <c r="L148" s="79">
        <f t="shared" si="2"/>
        <v>-5.0000000000000001E-3</v>
      </c>
    </row>
    <row r="149" spans="1:12" ht="33">
      <c r="A149" s="44">
        <v>45902.375</v>
      </c>
      <c r="B149" s="45" t="s">
        <v>937</v>
      </c>
      <c r="C149" s="45" t="s">
        <v>938</v>
      </c>
      <c r="D149" s="46" t="str">
        <f>HYPERLINK("https://tenderplus.kz/zakupki/46956102","Услуги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E149" s="47">
        <v>9139285.7200000007</v>
      </c>
      <c r="F149" s="103" t="str">
        <f>HYPERLINK("https://goszakup.gov.kz/ru/announce/index/15291213","Государственные закупки")</f>
        <v>Государственные закупки</v>
      </c>
      <c r="G149" s="103" t="s">
        <v>216</v>
      </c>
      <c r="H149" s="45" t="s">
        <v>701</v>
      </c>
      <c r="I149" s="85" t="s">
        <v>939</v>
      </c>
      <c r="J149" s="17" t="s">
        <v>658</v>
      </c>
      <c r="K149" s="17">
        <v>3300000</v>
      </c>
      <c r="L149" s="79">
        <f t="shared" si="2"/>
        <v>-0.6389214539186111</v>
      </c>
    </row>
  </sheetData>
  <autoFilter ref="A1:L149" xr:uid="{07C1F096-1DFE-405A-A2A6-CE1A7D777DC5}"/>
  <mergeCells count="1">
    <mergeCell ref="G142:G143"/>
  </mergeCells>
  <hyperlinks>
    <hyperlink ref="J63" r:id="rId1" xr:uid="{A36F2814-816A-4128-8820-63F28D0C507F}"/>
    <hyperlink ref="J75" r:id="rId2" xr:uid="{34BE23F7-1976-4B50-BF76-B1A15015C5A6}"/>
    <hyperlink ref="J90" r:id="rId3" xr:uid="{C156DE8F-51C0-4954-8D49-72915A5D9514}"/>
    <hyperlink ref="J142" r:id="rId4" xr:uid="{B25DFD5C-552C-4136-BE9B-EB272E74D4AD}"/>
    <hyperlink ref="J143" r:id="rId5" xr:uid="{CB36DDD0-AB3E-4963-93BF-DB391D7E6913}"/>
    <hyperlink ref="G2" r:id="rId6" xr:uid="{0D9F437E-CFC8-46B0-8F4F-B23671D274E1}"/>
    <hyperlink ref="G3" r:id="rId7" xr:uid="{F79746D9-D060-4333-B424-D0190A6B551F}"/>
    <hyperlink ref="G7" r:id="rId8" xr:uid="{017C04DC-94CB-401F-9CF8-9FE05B00B0F0}"/>
    <hyperlink ref="G8" r:id="rId9" xr:uid="{14A77E90-A7BB-4F76-84E3-D8FC9C067084}"/>
    <hyperlink ref="G9" r:id="rId10" xr:uid="{0F34443A-E9DC-48D1-9D86-29093BCBEA59}"/>
    <hyperlink ref="G10" r:id="rId11" xr:uid="{0EE4FC3A-745E-4826-ACC4-097B068716AE}"/>
    <hyperlink ref="G4" r:id="rId12" xr:uid="{1A691773-550F-49F8-B02A-EDEF7FCBA6F7}"/>
    <hyperlink ref="G5" r:id="rId13" xr:uid="{041F7B3B-AF4C-4D1F-B11C-A7707D2809C4}"/>
    <hyperlink ref="D10" r:id="rId14" xr:uid="{14F41174-957D-483B-B093-C3AE084EDD36}"/>
    <hyperlink ref="G11" r:id="rId15" xr:uid="{6935EF17-45F4-4003-8CA3-CB92F8CDAFD4}"/>
    <hyperlink ref="G14" r:id="rId16" xr:uid="{4D625F0A-E850-48E1-935D-00E212375A0A}"/>
    <hyperlink ref="G16" r:id="rId17" xr:uid="{FBF39322-AD68-479B-9FCE-3B0D86613321}"/>
    <hyperlink ref="G17" r:id="rId18" xr:uid="{D69CEEAD-F088-4EF9-A358-59092B62B348}"/>
    <hyperlink ref="G18" r:id="rId19" xr:uid="{E62810D4-29D4-4AFC-8EB0-B75E45250BAC}"/>
    <hyperlink ref="G22" r:id="rId20" xr:uid="{5E348C12-2326-41CF-8422-E9185142F8FF}"/>
    <hyperlink ref="G23" r:id="rId21" xr:uid="{FAB04AE7-9F88-4525-80AD-9580E94AFE73}"/>
    <hyperlink ref="G25" r:id="rId22" xr:uid="{0A60CAC3-26E5-4E39-A718-062427F075E4}"/>
    <hyperlink ref="G27" r:id="rId23" xr:uid="{CBE31B20-42D9-4728-9EB9-FFEC43A510F4}"/>
    <hyperlink ref="G28" r:id="rId24" xr:uid="{81BDC8FC-0770-4AE1-ADD0-4E8D2B8B6243}"/>
    <hyperlink ref="G29" r:id="rId25" xr:uid="{092C4268-4B87-45EA-BE6B-A8A8A98E0363}"/>
    <hyperlink ref="G34" r:id="rId26" xr:uid="{7B6DD49E-3A2D-40FC-A556-895B8A468674}"/>
    <hyperlink ref="G35" r:id="rId27" xr:uid="{093B09F0-E96C-4903-95CC-C96AA788AAE9}"/>
    <hyperlink ref="G36" r:id="rId28" xr:uid="{C1EF129D-5683-4676-A35E-ED5EC4999FE8}"/>
    <hyperlink ref="G37" r:id="rId29" xr:uid="{5E69D566-1A03-4BAD-A7CE-D0CA6A5A2FF7}"/>
    <hyperlink ref="G39" r:id="rId30" xr:uid="{3E5048F3-0462-4CB1-BAA3-D3788C063B8F}"/>
    <hyperlink ref="G40" r:id="rId31" xr:uid="{A66D576E-FA48-4D2E-931C-FB093CA316E1}"/>
    <hyperlink ref="G145" r:id="rId32" xr:uid="{418D7E7B-4F98-49BF-8C08-9F6C1E468DAF}"/>
    <hyperlink ref="G41" r:id="rId33" xr:uid="{A1C6250B-B275-4BA2-8163-0375220D8C28}"/>
    <hyperlink ref="G43" r:id="rId34" xr:uid="{12FF923A-42A4-40AD-A1E6-593A07C41A92}"/>
    <hyperlink ref="G144" r:id="rId35" xr:uid="{AF879762-3CD8-411C-ADF5-F317B023D3F1}"/>
    <hyperlink ref="G45" r:id="rId36" xr:uid="{AA7BFF3A-3113-4CAE-AEC9-09595530B973}"/>
    <hyperlink ref="G47" r:id="rId37" xr:uid="{78CE06CC-2043-4B9A-81B4-82D928C77C10}"/>
    <hyperlink ref="G46" r:id="rId38" xr:uid="{D3813F54-0A8D-4B1D-84C1-C1B4CA9172BD}"/>
    <hyperlink ref="G48" r:id="rId39" xr:uid="{71E84D88-C241-498D-BEC0-C132A6670536}"/>
    <hyperlink ref="G67" r:id="rId40" xr:uid="{5A1F68F8-BD9A-46A1-95C2-60F5A77274D2}"/>
    <hyperlink ref="G139" r:id="rId41" xr:uid="{DE1D3B9D-DEF7-4AB7-B0CA-C4E14A5CF849}"/>
    <hyperlink ref="G52" r:id="rId42" xr:uid="{F8D83CC6-2CBB-433E-8AA2-961E9E82AADC}"/>
    <hyperlink ref="G137" r:id="rId43" xr:uid="{86B5D836-96C6-4941-8EC1-380AB129FFC4}"/>
    <hyperlink ref="G53" r:id="rId44" xr:uid="{2C94F937-1C5C-4C01-957F-BFFD88B99ABC}"/>
    <hyperlink ref="G136" r:id="rId45" display="Услуги по обеспечению информационной безопасности в Жамбылской области" xr:uid="{02EAA44E-E779-4263-9BDA-E548ED891D2B}"/>
    <hyperlink ref="G134" r:id="rId46" xr:uid="{26EA82E2-B36D-4A63-8E06-4CB9AADA77FE}"/>
    <hyperlink ref="G56" r:id="rId47" display="https://tenderplus.kz/zakupki/49323311; https://tenderplus.kz/zakupki/49349308; https://tenderplus.kz/zakupki/49219182; https://tenderplus.kz/zakupki/48510112; https://tenderplus.kz/zakupki/48470276; https://tenderplus.kz/zakupki/48425987; https://tenderplus.kz/zakupki/48339165" xr:uid="{8EDF587F-E2E0-487F-BF83-17EAC54738AF}"/>
    <hyperlink ref="G131" r:id="rId48" xr:uid="{DECA937B-F64D-4590-95A0-ADA39174D30A}"/>
    <hyperlink ref="G59" r:id="rId49" display="https://tenderplus.kz/zakupki/49323311; https://tenderplus.kz/zakupki/49349308; https://tenderplus.kz/zakupki/49219182; https://tenderplus.kz/zakupki/48510112; https://tenderplus.kz/zakupki/48470276; https://tenderplus.kz/zakupki/48425987; https://tenderplus.kz/zakupki/48339165" xr:uid="{27682C77-27C6-460D-A28F-CE62580E6DAC}"/>
    <hyperlink ref="G62" r:id="rId50" display="https://tenderplus.kz/zakupki/49323311; https://tenderplus.kz/zakupki/49349308; https://tenderplus.kz/zakupki/49219182; https://tenderplus.kz/zakupki/48510112; https://tenderplus.kz/zakupki/48470276; https://tenderplus.kz/zakupki/48425987; https://tenderplus.kz/zakupki/48339165" xr:uid="{C6B3A0A7-DF01-4AA8-82A2-C823A9C4F0A3}"/>
    <hyperlink ref="G65" r:id="rId51" display="https://tenderplus.kz/zakupki/49323311; https://tenderplus.kz/zakupki/49349308; https://tenderplus.kz/zakupki/49219182; https://tenderplus.kz/zakupki/48510112; https://tenderplus.kz/zakupki/48470276; https://tenderplus.kz/zakupki/48425987; https://tenderplus.kz/zakupki/48339165" xr:uid="{24D24B6E-2044-45BD-AED6-EA816322D37F}"/>
    <hyperlink ref="G85" r:id="rId52" display="https://tenderplus.kz/zakupki/49323311; https://tenderplus.kz/zakupki/49349308; https://tenderplus.kz/zakupki/49219182; https://tenderplus.kz/zakupki/48510112; https://tenderplus.kz/zakupki/48470276; https://tenderplus.kz/zakupki/48425987; https://tenderplus.kz/zakupki/48339165" xr:uid="{D356D440-40D8-4741-8C23-94484C427DB3}"/>
    <hyperlink ref="G113" r:id="rId53" display="https://tenderplus.kz/zakupki/49323311; https://tenderplus.kz/zakupki/49349308; https://tenderplus.kz/zakupki/49219182; https://tenderplus.kz/zakupki/48510112; https://tenderplus.kz/zakupki/48470276; https://tenderplus.kz/zakupki/48425987; https://tenderplus.kz/zakupki/48339165" xr:uid="{1CF903DA-69E1-4D8E-AA3A-ED9F5D5117AA}"/>
    <hyperlink ref="G146" r:id="rId54" display="https://tenderplus.kz/zakupki/49323311; https://tenderplus.kz/zakupki/49349308; https://tenderplus.kz/zakupki/49219182; https://tenderplus.kz/zakupki/48510112; https://tenderplus.kz/zakupki/48470276; https://tenderplus.kz/zakupki/48425987; https://tenderplus.kz/zakupki/48339165" xr:uid="{D7195E0D-1425-47E1-B4E1-65C4D7435014}"/>
    <hyperlink ref="G133" r:id="rId55" xr:uid="{FB6F8302-7627-4EA7-B011-9104055C7ECA}"/>
    <hyperlink ref="G60" r:id="rId56" xr:uid="{F095CF29-4E81-4FE0-91B4-DF9E0CAB2CC8}"/>
    <hyperlink ref="G61" r:id="rId57" xr:uid="{FFD11617-867C-4230-9F88-740ADF4603CA}"/>
    <hyperlink ref="G64" r:id="rId58" xr:uid="{8FAD9090-004D-4D2B-9B1C-A1744DEFFA9C}"/>
    <hyperlink ref="G128" r:id="rId59" xr:uid="{77195029-0ABC-4DF5-B63E-24427F9D2187}"/>
    <hyperlink ref="G66" r:id="rId60" xr:uid="{F18AB7EB-1C43-4E66-B0D7-1E1B336451A4}"/>
    <hyperlink ref="G126" r:id="rId61" xr:uid="{9912540A-BB62-4E08-BFE4-7FE5A10BF55A}"/>
    <hyperlink ref="G125" r:id="rId62" xr:uid="{2F369B1C-1F7F-4A77-ADE3-591DFC14447F}"/>
    <hyperlink ref="G124" r:id="rId63" xr:uid="{DAAC6E92-9CEB-47ED-B778-4A5BCA6DE1C9}"/>
    <hyperlink ref="G119" r:id="rId64" xr:uid="{1E902F00-B8F6-4FC4-A367-1FB912E1C2E7}"/>
    <hyperlink ref="G72" r:id="rId65" xr:uid="{0E4322AD-5D45-4E00-BC4A-82F7E689EE1B}"/>
    <hyperlink ref="G78" r:id="rId66" xr:uid="{12D7CE2D-89D1-4592-8627-5F52BEAFC7F4}"/>
    <hyperlink ref="G84" r:id="rId67" xr:uid="{A52DEBFF-D632-45E4-9807-1F273D53613E}"/>
    <hyperlink ref="G86" r:id="rId68" xr:uid="{968F68A2-8566-4E58-8C16-22A4C06C8D39}"/>
    <hyperlink ref="G92" r:id="rId69" xr:uid="{D9B691BD-C246-469D-AC37-72BACD1BE58E}"/>
    <hyperlink ref="G117" r:id="rId70" xr:uid="{890A4328-94BC-460F-87EB-3B945A925D71}"/>
    <hyperlink ref="G95" r:id="rId71" xr:uid="{EC163690-FC11-4C65-BCFC-59AC488BD958}"/>
    <hyperlink ref="G106" r:id="rId72" xr:uid="{5FE63118-99F8-4D86-951E-86E49C528B3C}"/>
    <hyperlink ref="G103" r:id="rId73" xr:uid="{D4216E46-EADD-4CEC-88D8-855C5A752290}"/>
    <hyperlink ref="G97" r:id="rId74" xr:uid="{69647DDE-953E-4188-8F94-1D5D18F35742}"/>
    <hyperlink ref="G98" r:id="rId75" xr:uid="{E43B8914-9E67-4C65-8022-46A61287FE79}"/>
    <hyperlink ref="G111" r:id="rId76" xr:uid="{60C1C64A-82CC-4745-A72D-C7D67053B9DC}"/>
    <hyperlink ref="G101" r:id="rId77" xr:uid="{771FF345-B43D-4E9C-9EC1-1F521A8C8366}"/>
    <hyperlink ref="G110" r:id="rId78" xr:uid="{9219EBE2-394E-46D1-BF63-FBE488ED857C}"/>
    <hyperlink ref="G109" r:id="rId79" xr:uid="{E73DCF6B-2975-47B8-8D95-FE721B86FAB8}"/>
    <hyperlink ref="G107" r:id="rId80" xr:uid="{3ECA1FEF-A7F2-4E2C-861F-BF3329557F0B}"/>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21EDC-0393-4924-B149-AB5D102FFC26}">
  <sheetPr>
    <tabColor rgb="FFFFC000"/>
  </sheetPr>
  <dimension ref="A2:B13"/>
  <sheetViews>
    <sheetView workbookViewId="0">
      <selection activeCell="F24" sqref="F24"/>
    </sheetView>
  </sheetViews>
  <sheetFormatPr defaultRowHeight="15"/>
  <cols>
    <col min="1" max="1" width="37" customWidth="1"/>
    <col min="2" max="2" width="28.85546875" customWidth="1"/>
    <col min="3" max="3" width="6.7109375" bestFit="1" customWidth="1"/>
    <col min="4" max="4" width="10" bestFit="1" customWidth="1"/>
    <col min="5" max="5" width="25.28515625" bestFit="1" customWidth="1"/>
    <col min="6" max="6" width="28.85546875" bestFit="1" customWidth="1"/>
    <col min="7" max="7" width="27.85546875" bestFit="1" customWidth="1"/>
    <col min="8" max="8" width="17.85546875" bestFit="1" customWidth="1"/>
    <col min="9" max="9" width="23.42578125" bestFit="1" customWidth="1"/>
    <col min="10" max="10" width="32.28515625" bestFit="1" customWidth="1"/>
    <col min="11" max="12" width="11.7109375" bestFit="1" customWidth="1"/>
  </cols>
  <sheetData>
    <row r="2" spans="1:2">
      <c r="A2" s="9" t="s">
        <v>940</v>
      </c>
      <c r="B2" t="s">
        <v>941</v>
      </c>
    </row>
    <row r="3" spans="1:2">
      <c r="A3" t="s">
        <v>258</v>
      </c>
      <c r="B3">
        <v>12</v>
      </c>
    </row>
    <row r="4" spans="1:2">
      <c r="A4" t="s">
        <v>237</v>
      </c>
      <c r="B4">
        <v>8</v>
      </c>
    </row>
    <row r="5" spans="1:2">
      <c r="A5" t="s">
        <v>227</v>
      </c>
      <c r="B5">
        <v>10</v>
      </c>
    </row>
    <row r="6" spans="1:2">
      <c r="A6" t="s">
        <v>208</v>
      </c>
      <c r="B6">
        <v>1</v>
      </c>
    </row>
    <row r="7" spans="1:2">
      <c r="A7" t="s">
        <v>389</v>
      </c>
      <c r="B7">
        <v>1</v>
      </c>
    </row>
    <row r="8" spans="1:2">
      <c r="A8" t="s">
        <v>218</v>
      </c>
      <c r="B8">
        <v>13</v>
      </c>
    </row>
    <row r="9" spans="1:2">
      <c r="A9" t="s">
        <v>206</v>
      </c>
      <c r="B9">
        <v>2</v>
      </c>
    </row>
    <row r="10" spans="1:2">
      <c r="A10" t="s">
        <v>333</v>
      </c>
      <c r="B10">
        <v>5</v>
      </c>
    </row>
    <row r="11" spans="1:2">
      <c r="A11" t="s">
        <v>942</v>
      </c>
      <c r="B11">
        <v>1</v>
      </c>
    </row>
    <row r="12" spans="1:2">
      <c r="A12" t="s">
        <v>293</v>
      </c>
      <c r="B12">
        <v>2</v>
      </c>
    </row>
    <row r="13" spans="1:2">
      <c r="A13" t="s">
        <v>943</v>
      </c>
      <c r="B13">
        <v>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9682A-8AD9-4307-A73B-FE1A955D75E0}">
  <dimension ref="A1:I15"/>
  <sheetViews>
    <sheetView workbookViewId="0">
      <selection activeCell="C9" sqref="C9"/>
    </sheetView>
  </sheetViews>
  <sheetFormatPr defaultRowHeight="15"/>
  <cols>
    <col min="1" max="1" width="4" bestFit="1" customWidth="1"/>
    <col min="2" max="2" width="13.5703125" bestFit="1" customWidth="1"/>
    <col min="3" max="3" width="97.42578125" customWidth="1"/>
    <col min="4" max="4" width="16.140625" bestFit="1" customWidth="1"/>
    <col min="5" max="5" width="64.7109375" bestFit="1" customWidth="1"/>
    <col min="6" max="6" width="23.28515625" bestFit="1" customWidth="1"/>
    <col min="7" max="7" width="25.42578125" bestFit="1" customWidth="1"/>
    <col min="8" max="8" width="28.140625" bestFit="1" customWidth="1"/>
    <col min="9" max="9" width="35.140625" bestFit="1" customWidth="1"/>
  </cols>
  <sheetData>
    <row r="1" spans="1:9" ht="33.75" customHeight="1">
      <c r="A1" s="1" t="s">
        <v>184</v>
      </c>
      <c r="B1" s="1" t="s">
        <v>0</v>
      </c>
      <c r="C1" s="1" t="s">
        <v>3</v>
      </c>
      <c r="D1" s="2" t="s">
        <v>1</v>
      </c>
      <c r="E1" s="1" t="s">
        <v>4</v>
      </c>
      <c r="F1" s="1" t="s">
        <v>5</v>
      </c>
      <c r="G1" s="1" t="s">
        <v>193</v>
      </c>
      <c r="H1" s="1" t="s">
        <v>194</v>
      </c>
      <c r="I1" s="2" t="s">
        <v>190</v>
      </c>
    </row>
    <row r="2" spans="1:9" ht="18.75">
      <c r="A2" s="3">
        <v>1</v>
      </c>
      <c r="B2" s="3" t="s">
        <v>944</v>
      </c>
      <c r="C2" s="4" t="s">
        <v>817</v>
      </c>
      <c r="D2" s="7">
        <v>242745534.19999999</v>
      </c>
      <c r="E2" s="3" t="str">
        <f>HYPERLINK("https://tenderplus.kz/zakupki/44572956","Услуги по обеспечению информационной безопасности")</f>
        <v>Услуги по обеспечению информационной безопасности</v>
      </c>
      <c r="F2" s="3" t="s">
        <v>16</v>
      </c>
      <c r="G2" s="6">
        <f>D2*0.01</f>
        <v>2427455.3419999997</v>
      </c>
      <c r="H2" s="6">
        <f>D2*0.03</f>
        <v>7282366.0259999996</v>
      </c>
      <c r="I2" s="3" t="s">
        <v>258</v>
      </c>
    </row>
    <row r="3" spans="1:9" ht="18.75">
      <c r="A3" s="3">
        <v>2</v>
      </c>
      <c r="B3" s="3" t="s">
        <v>945</v>
      </c>
      <c r="C3" s="4" t="s">
        <v>236</v>
      </c>
      <c r="D3" s="7">
        <v>140357142.86000001</v>
      </c>
      <c r="E3" s="3" t="str">
        <f>HYPERLINK("https://tenderplus.kz/zakupki/44775983","Услуги по обеспечению информационной безопасности")</f>
        <v>Услуги по обеспечению информационной безопасности</v>
      </c>
      <c r="F3" s="3" t="s">
        <v>16</v>
      </c>
      <c r="G3" s="6">
        <f>D3*0.01</f>
        <v>1403571.4286000002</v>
      </c>
      <c r="H3" s="6">
        <f>D3*0.03</f>
        <v>4210714.2858000007</v>
      </c>
      <c r="I3" s="3" t="s">
        <v>258</v>
      </c>
    </row>
    <row r="4" spans="1:9" ht="18.75">
      <c r="A4" s="3">
        <v>3</v>
      </c>
      <c r="B4" s="3" t="s">
        <v>946</v>
      </c>
      <c r="C4" s="4" t="s">
        <v>236</v>
      </c>
      <c r="D4" s="7">
        <v>81400000</v>
      </c>
      <c r="E4" s="10" t="str">
        <f>HYPERLINK("https://tenderplus.kz/zakupki/44105556","Услуги по обеспечению информационной безопасности")</f>
        <v>Услуги по обеспечению информационной безопасности</v>
      </c>
      <c r="F4" s="3" t="s">
        <v>16</v>
      </c>
      <c r="G4" s="6">
        <f>D4*0.03</f>
        <v>2442000</v>
      </c>
      <c r="H4" s="6">
        <f>D4*0.05</f>
        <v>4070000</v>
      </c>
      <c r="I4" s="3" t="s">
        <v>258</v>
      </c>
    </row>
    <row r="5" spans="1:9" ht="18.75">
      <c r="A5" s="3">
        <v>4</v>
      </c>
      <c r="B5" s="3" t="s">
        <v>947</v>
      </c>
      <c r="C5" s="3" t="s">
        <v>948</v>
      </c>
      <c r="D5" s="5">
        <v>80000000</v>
      </c>
      <c r="E5" s="10" t="str">
        <f>HYPERLINK("https://eep.mitwork.kz/ru/publics/lot/513619","Услуги по обеспечению информационной безопасности")</f>
        <v>Услуги по обеспечению информационной безопасности</v>
      </c>
      <c r="F5" s="3" t="s">
        <v>280</v>
      </c>
      <c r="G5" s="6">
        <f>D5*0.01</f>
        <v>800000</v>
      </c>
      <c r="H5" s="6">
        <f>D5*0.03</f>
        <v>2400000</v>
      </c>
      <c r="I5" s="3" t="s">
        <v>258</v>
      </c>
    </row>
    <row r="6" spans="1:9" ht="18.75">
      <c r="A6" s="3">
        <v>5</v>
      </c>
      <c r="B6" s="3" t="s">
        <v>949</v>
      </c>
      <c r="C6" s="4" t="s">
        <v>311</v>
      </c>
      <c r="D6" s="7">
        <v>66000000</v>
      </c>
      <c r="E6" s="3" t="str">
        <f>HYPERLINK("https://tenderplus.kz/zakupki/43209277","Услуга подключения к ОЦИБ")</f>
        <v>Услуга подключения к ОЦИБ</v>
      </c>
      <c r="F6" s="3" t="s">
        <v>16</v>
      </c>
      <c r="G6" s="6">
        <f>D6*0.01</f>
        <v>660000</v>
      </c>
      <c r="H6" s="6">
        <f>D6*0.03</f>
        <v>1980000</v>
      </c>
      <c r="I6" s="3" t="s">
        <v>258</v>
      </c>
    </row>
    <row r="7" spans="1:9" ht="18.75">
      <c r="A7" s="3">
        <v>6</v>
      </c>
      <c r="B7" s="3" t="s">
        <v>950</v>
      </c>
      <c r="C7" s="6" t="s">
        <v>951</v>
      </c>
      <c r="D7" s="5">
        <v>26368400</v>
      </c>
      <c r="E7" s="3" t="s">
        <v>257</v>
      </c>
      <c r="F7" s="3" t="s">
        <v>280</v>
      </c>
      <c r="G7" s="6">
        <f>D7*0.01</f>
        <v>263684</v>
      </c>
      <c r="H7" s="6">
        <f>D7*0.03</f>
        <v>791052</v>
      </c>
      <c r="I7" s="3" t="s">
        <v>218</v>
      </c>
    </row>
    <row r="8" spans="1:9" ht="18.75">
      <c r="A8" s="3">
        <v>7</v>
      </c>
      <c r="B8" s="3" t="s">
        <v>952</v>
      </c>
      <c r="C8" s="4" t="s">
        <v>765</v>
      </c>
      <c r="D8" s="7">
        <v>36420535.710000001</v>
      </c>
      <c r="E8" s="3" t="str">
        <f>HYPERLINK("https://tenderplus.kz/zakupki/43851199","Услуги по обеспечению информационной безопасности")</f>
        <v>Услуги по обеспечению информационной безопасности</v>
      </c>
      <c r="F8" s="3" t="s">
        <v>16</v>
      </c>
      <c r="G8" s="6">
        <f>D8*0.03</f>
        <v>1092616.0713</v>
      </c>
      <c r="H8" s="6">
        <f>D8*0.05</f>
        <v>1821026.7855000002</v>
      </c>
      <c r="I8" s="3" t="s">
        <v>218</v>
      </c>
    </row>
    <row r="9" spans="1:9" ht="36">
      <c r="A9" s="3">
        <v>8</v>
      </c>
      <c r="B9" s="8" t="s">
        <v>953</v>
      </c>
      <c r="C9" s="11" t="s">
        <v>691</v>
      </c>
      <c r="D9" s="7">
        <v>29464285.710000001</v>
      </c>
      <c r="E9" s="3" t="str">
        <f>HYPERLINK("https://tenderplus.kz/zakupki/43247792","Услуги по обеспечению информационной безопасности")</f>
        <v>Услуги по обеспечению информационной безопасности</v>
      </c>
      <c r="F9" s="3" t="s">
        <v>16</v>
      </c>
      <c r="G9" s="6">
        <f>D9*0.03</f>
        <v>883928.57129999995</v>
      </c>
      <c r="H9" s="6">
        <f>D9*0.05</f>
        <v>1473214.2855000002</v>
      </c>
      <c r="I9" s="3" t="s">
        <v>258</v>
      </c>
    </row>
    <row r="10" spans="1:9" ht="18.75">
      <c r="A10" s="3">
        <v>9</v>
      </c>
      <c r="B10" s="3" t="s">
        <v>949</v>
      </c>
      <c r="C10" s="4" t="s">
        <v>814</v>
      </c>
      <c r="D10" s="7">
        <v>22057056.73</v>
      </c>
      <c r="E10" s="3" t="str">
        <f>HYPERLINK("https://tenderplus.kz/zakupki/44783286","Услуги по обеспечению информационной безопасности")</f>
        <v>Услуги по обеспечению информационной безопасности</v>
      </c>
      <c r="F10" s="3" t="s">
        <v>16</v>
      </c>
      <c r="G10" s="6">
        <f>D10*0.03</f>
        <v>661711.70189999999</v>
      </c>
      <c r="H10" s="6">
        <f>D10*0.05</f>
        <v>1102852.8365</v>
      </c>
      <c r="I10" s="3" t="s">
        <v>258</v>
      </c>
    </row>
    <row r="11" spans="1:9" ht="18.75">
      <c r="A11" s="3">
        <v>10</v>
      </c>
      <c r="B11" s="3" t="s">
        <v>954</v>
      </c>
      <c r="C11" s="4" t="s">
        <v>718</v>
      </c>
      <c r="D11" s="5">
        <v>21600000</v>
      </c>
      <c r="E11" s="3" t="str">
        <f>HYPERLINK("https://tenderplus.kz/zakupki/43329123","Услуги по обеспечению информационной безопасности")</f>
        <v>Услуги по обеспечению информационной безопасности</v>
      </c>
      <c r="F11" s="3" t="s">
        <v>16</v>
      </c>
      <c r="G11" s="6">
        <f>D11*0.03</f>
        <v>648000</v>
      </c>
      <c r="H11" s="6">
        <f>D11*0.05</f>
        <v>1080000</v>
      </c>
      <c r="I11" s="3" t="s">
        <v>258</v>
      </c>
    </row>
    <row r="12" spans="1:9" ht="18.75">
      <c r="A12" s="3">
        <v>11</v>
      </c>
      <c r="B12" s="3" t="s">
        <v>949</v>
      </c>
      <c r="C12" s="4" t="s">
        <v>408</v>
      </c>
      <c r="D12" s="7">
        <v>18437496.43</v>
      </c>
      <c r="E12" s="3" t="str">
        <f>HYPERLINK("https://tenderplus.kz/zakupki/43536499","Услуги по обеспечению информационной безопасности")</f>
        <v>Услуги по обеспечению информационной безопасности</v>
      </c>
      <c r="F12" s="3" t="s">
        <v>116</v>
      </c>
      <c r="G12" s="6">
        <f>D12*0.03</f>
        <v>553124.89289999998</v>
      </c>
      <c r="H12" s="6">
        <f>D12*0.05</f>
        <v>921874.82150000008</v>
      </c>
      <c r="I12" s="3" t="s">
        <v>258</v>
      </c>
    </row>
    <row r="13" spans="1:9" ht="18.75">
      <c r="A13" s="3">
        <v>12</v>
      </c>
      <c r="B13" s="8" t="s">
        <v>953</v>
      </c>
      <c r="C13" s="4" t="s">
        <v>675</v>
      </c>
      <c r="D13" s="7">
        <v>17501786</v>
      </c>
      <c r="E13" s="3" t="str">
        <f>HYPERLINK("https://tenderplus.kz/zakupki/43179505","Услуги по обеспечению информационной безопасности")</f>
        <v>Услуги по обеспечению информационной безопасности</v>
      </c>
      <c r="F13" s="3" t="s">
        <v>16</v>
      </c>
      <c r="G13" s="6">
        <f>D13*0.03</f>
        <v>525053.57999999996</v>
      </c>
      <c r="H13" s="6">
        <f>D13*0.05</f>
        <v>875089.3</v>
      </c>
      <c r="I13" s="3" t="s">
        <v>258</v>
      </c>
    </row>
    <row r="14" spans="1:9" ht="18.75">
      <c r="A14" s="3">
        <v>13</v>
      </c>
      <c r="B14" s="3" t="s">
        <v>952</v>
      </c>
      <c r="C14" s="4" t="s">
        <v>715</v>
      </c>
      <c r="D14" s="5">
        <v>15500000</v>
      </c>
      <c r="E14" s="3" t="str">
        <f>HYPERLINK("https://tenderplus.kz/zakupki/43322180","Услуги по обеспечению информационной безопасности")</f>
        <v>Услуги по обеспечению информационной безопасности</v>
      </c>
      <c r="F14" s="3" t="s">
        <v>16</v>
      </c>
      <c r="G14" s="6">
        <f>D14*0.03</f>
        <v>465000</v>
      </c>
      <c r="H14" s="6">
        <f>D14*0.05</f>
        <v>775000</v>
      </c>
      <c r="I14" s="3" t="s">
        <v>258</v>
      </c>
    </row>
    <row r="15" spans="1:9" ht="18.75">
      <c r="A15" s="3">
        <v>14</v>
      </c>
      <c r="B15" s="3" t="s">
        <v>949</v>
      </c>
      <c r="C15" s="4" t="s">
        <v>461</v>
      </c>
      <c r="D15" s="7">
        <v>8539285.7100000009</v>
      </c>
      <c r="E15" s="3" t="str">
        <f>HYPERLINK("https://tenderplus.kz/zakupki/43135680","Услуги по обеспечению информационной безопасности Услуги по обеспечению информационной безопасности")</f>
        <v>Услуги по обеспечению информационной безопасности Услуги по обеспечению информационной безопасности</v>
      </c>
      <c r="F15" s="3" t="s">
        <v>16</v>
      </c>
      <c r="G15" s="6">
        <f>D15*0.03</f>
        <v>256178.57130000001</v>
      </c>
      <c r="H15" s="6">
        <f>D15*0.05</f>
        <v>426964.28550000006</v>
      </c>
      <c r="I15" s="3" t="s">
        <v>258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9C696-6404-4663-9A56-D670AC1EA904}">
  <dimension ref="A1:B39"/>
  <sheetViews>
    <sheetView workbookViewId="0"/>
  </sheetViews>
  <sheetFormatPr defaultRowHeight="15"/>
  <cols>
    <col min="1" max="1" width="3.42578125" customWidth="1"/>
    <col min="2" max="2" width="29.42578125" customWidth="1"/>
  </cols>
  <sheetData>
    <row r="1" spans="1:2">
      <c r="A1" s="48" t="s">
        <v>184</v>
      </c>
      <c r="B1" s="48" t="s">
        <v>955</v>
      </c>
    </row>
    <row r="2" spans="1:2">
      <c r="A2" s="17">
        <v>1</v>
      </c>
      <c r="B2" s="17" t="s">
        <v>956</v>
      </c>
    </row>
    <row r="3" spans="1:2">
      <c r="A3" s="17">
        <v>2</v>
      </c>
      <c r="B3" s="17" t="s">
        <v>957</v>
      </c>
    </row>
    <row r="4" spans="1:2">
      <c r="A4" s="17">
        <v>3</v>
      </c>
      <c r="B4" s="17" t="s">
        <v>958</v>
      </c>
    </row>
    <row r="5" spans="1:2">
      <c r="A5" s="17">
        <v>4</v>
      </c>
      <c r="B5" s="17" t="s">
        <v>959</v>
      </c>
    </row>
    <row r="6" spans="1:2">
      <c r="A6" s="17">
        <v>5</v>
      </c>
      <c r="B6" s="17" t="s">
        <v>960</v>
      </c>
    </row>
    <row r="7" spans="1:2">
      <c r="A7" s="17">
        <v>6</v>
      </c>
      <c r="B7" s="17" t="s">
        <v>961</v>
      </c>
    </row>
    <row r="8" spans="1:2">
      <c r="A8" s="17">
        <v>7</v>
      </c>
      <c r="B8" s="17" t="s">
        <v>962</v>
      </c>
    </row>
    <row r="9" spans="1:2">
      <c r="A9" s="17">
        <v>8</v>
      </c>
      <c r="B9" s="17" t="s">
        <v>963</v>
      </c>
    </row>
    <row r="10" spans="1:2">
      <c r="A10" s="17">
        <v>9</v>
      </c>
      <c r="B10" s="17" t="s">
        <v>964</v>
      </c>
    </row>
    <row r="11" spans="1:2">
      <c r="A11" s="17">
        <v>10</v>
      </c>
      <c r="B11" s="17" t="s">
        <v>965</v>
      </c>
    </row>
    <row r="12" spans="1:2">
      <c r="A12" s="17">
        <v>11</v>
      </c>
      <c r="B12" s="17" t="s">
        <v>966</v>
      </c>
    </row>
    <row r="13" spans="1:2">
      <c r="A13" s="17">
        <v>12</v>
      </c>
      <c r="B13" s="17" t="s">
        <v>967</v>
      </c>
    </row>
    <row r="14" spans="1:2">
      <c r="A14" s="17">
        <v>13</v>
      </c>
      <c r="B14" s="17" t="s">
        <v>968</v>
      </c>
    </row>
    <row r="15" spans="1:2">
      <c r="A15" s="17">
        <v>14</v>
      </c>
      <c r="B15" s="17" t="s">
        <v>969</v>
      </c>
    </row>
    <row r="16" spans="1:2" ht="29.25">
      <c r="A16" s="17">
        <v>15</v>
      </c>
      <c r="B16" s="18" t="s">
        <v>970</v>
      </c>
    </row>
    <row r="17" spans="1:2">
      <c r="A17" s="17">
        <v>16</v>
      </c>
      <c r="B17" s="17" t="s">
        <v>971</v>
      </c>
    </row>
    <row r="18" spans="1:2">
      <c r="A18" s="17">
        <v>17</v>
      </c>
      <c r="B18" s="17" t="s">
        <v>972</v>
      </c>
    </row>
    <row r="19" spans="1:2">
      <c r="A19" s="17">
        <v>18</v>
      </c>
      <c r="B19" s="17" t="s">
        <v>973</v>
      </c>
    </row>
    <row r="20" spans="1:2">
      <c r="A20" s="17">
        <v>19</v>
      </c>
      <c r="B20" s="17" t="s">
        <v>974</v>
      </c>
    </row>
    <row r="21" spans="1:2">
      <c r="A21" s="17">
        <v>20</v>
      </c>
      <c r="B21" s="17" t="s">
        <v>975</v>
      </c>
    </row>
    <row r="22" spans="1:2">
      <c r="A22" s="17">
        <v>21</v>
      </c>
      <c r="B22" s="17" t="s">
        <v>976</v>
      </c>
    </row>
    <row r="23" spans="1:2">
      <c r="A23" s="17">
        <v>22</v>
      </c>
      <c r="B23" s="17" t="s">
        <v>977</v>
      </c>
    </row>
    <row r="24" spans="1:2">
      <c r="A24" s="17">
        <v>23</v>
      </c>
      <c r="B24" s="17" t="s">
        <v>978</v>
      </c>
    </row>
    <row r="25" spans="1:2">
      <c r="A25" s="17">
        <v>24</v>
      </c>
      <c r="B25" s="17" t="s">
        <v>979</v>
      </c>
    </row>
    <row r="26" spans="1:2">
      <c r="A26" s="17">
        <v>25</v>
      </c>
      <c r="B26" s="17" t="s">
        <v>980</v>
      </c>
    </row>
    <row r="27" spans="1:2">
      <c r="A27" s="17">
        <v>26</v>
      </c>
      <c r="B27" s="17" t="s">
        <v>981</v>
      </c>
    </row>
    <row r="28" spans="1:2">
      <c r="A28" s="17">
        <v>27</v>
      </c>
      <c r="B28" s="17" t="s">
        <v>982</v>
      </c>
    </row>
    <row r="29" spans="1:2">
      <c r="A29" s="17">
        <v>28</v>
      </c>
      <c r="B29" s="17" t="s">
        <v>983</v>
      </c>
    </row>
    <row r="30" spans="1:2">
      <c r="A30" s="17">
        <v>29</v>
      </c>
      <c r="B30" s="17" t="s">
        <v>984</v>
      </c>
    </row>
    <row r="31" spans="1:2">
      <c r="A31" s="17">
        <v>30</v>
      </c>
      <c r="B31" s="17" t="s">
        <v>985</v>
      </c>
    </row>
    <row r="32" spans="1:2">
      <c r="A32" s="17">
        <v>31</v>
      </c>
      <c r="B32" s="17" t="s">
        <v>986</v>
      </c>
    </row>
    <row r="33" spans="1:2">
      <c r="A33" s="17">
        <v>32</v>
      </c>
      <c r="B33" s="17" t="s">
        <v>987</v>
      </c>
    </row>
    <row r="34" spans="1:2">
      <c r="A34" s="17">
        <v>33</v>
      </c>
      <c r="B34" s="17" t="s">
        <v>794</v>
      </c>
    </row>
    <row r="35" spans="1:2" ht="29.25">
      <c r="A35" s="49">
        <v>34</v>
      </c>
      <c r="B35" s="50" t="s">
        <v>630</v>
      </c>
    </row>
    <row r="36" spans="1:2">
      <c r="A36" s="17">
        <v>35</v>
      </c>
      <c r="B36" s="17" t="s">
        <v>988</v>
      </c>
    </row>
    <row r="37" spans="1:2">
      <c r="A37" s="17">
        <v>36</v>
      </c>
      <c r="B37" s="17" t="s">
        <v>989</v>
      </c>
    </row>
    <row r="38" spans="1:2">
      <c r="A38" s="17">
        <v>37</v>
      </c>
      <c r="B38" s="17" t="s">
        <v>990</v>
      </c>
    </row>
    <row r="39" spans="1:2">
      <c r="A39" s="17">
        <v>38</v>
      </c>
      <c r="B39" s="17" t="s">
        <v>991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74393-FB11-4329-B0C6-F8C58D4D2201}">
  <dimension ref="C2:G38"/>
  <sheetViews>
    <sheetView workbookViewId="0">
      <selection activeCell="C27" sqref="C27"/>
    </sheetView>
  </sheetViews>
  <sheetFormatPr defaultRowHeight="15"/>
  <cols>
    <col min="2" max="2" width="18.85546875" bestFit="1" customWidth="1"/>
    <col min="3" max="3" width="41.85546875" customWidth="1"/>
    <col min="4" max="4" width="17.85546875" bestFit="1" customWidth="1"/>
    <col min="5" max="5" width="36.5703125" bestFit="1" customWidth="1"/>
    <col min="6" max="6" width="18.85546875" bestFit="1" customWidth="1"/>
    <col min="7" max="7" width="13.42578125" customWidth="1"/>
  </cols>
  <sheetData>
    <row r="2" spans="3:7">
      <c r="C2" s="37" t="s">
        <v>3</v>
      </c>
      <c r="D2" s="38" t="s">
        <v>992</v>
      </c>
      <c r="E2" s="38" t="s">
        <v>993</v>
      </c>
      <c r="F2" s="38" t="s">
        <v>994</v>
      </c>
    </row>
    <row r="3" spans="3:7">
      <c r="C3" s="40">
        <f>COUNTA(_xlfn.UNIQUE('Календарь тендеров IaaS'!I2:I143))</f>
        <v>120</v>
      </c>
      <c r="D3" s="39">
        <v>171</v>
      </c>
      <c r="E3" s="40">
        <f>SUM('Календарь тендеров IaaS'!F2:F143)</f>
        <v>8636125571.0999985</v>
      </c>
      <c r="F3" s="40">
        <f>SUM('Календарь тендеров IaaS'!G2:G143)</f>
        <v>5217666240.7899981</v>
      </c>
    </row>
    <row r="6" spans="3:7" ht="28.5">
      <c r="C6" s="61" t="s">
        <v>995</v>
      </c>
      <c r="D6" s="61" t="s">
        <v>992</v>
      </c>
      <c r="E6" s="61" t="s">
        <v>996</v>
      </c>
      <c r="F6" s="61" t="s">
        <v>997</v>
      </c>
      <c r="G6" s="61" t="s">
        <v>998</v>
      </c>
    </row>
    <row r="7" spans="3:7">
      <c r="C7" s="13" t="s">
        <v>999</v>
      </c>
      <c r="D7" s="64">
        <v>18</v>
      </c>
      <c r="E7" s="65"/>
      <c r="F7" s="65">
        <v>1321951877</v>
      </c>
      <c r="G7" s="66">
        <v>-0.13216389789969521</v>
      </c>
    </row>
    <row r="8" spans="3:7" ht="29.25">
      <c r="C8" s="12" t="s">
        <v>238</v>
      </c>
      <c r="D8" s="33">
        <v>1</v>
      </c>
      <c r="E8" s="33"/>
      <c r="F8" s="62">
        <v>349766928.56999999</v>
      </c>
      <c r="G8" s="63">
        <v>0</v>
      </c>
    </row>
    <row r="9" spans="3:7">
      <c r="C9" s="90" t="s">
        <v>268</v>
      </c>
      <c r="D9" s="17">
        <v>3</v>
      </c>
      <c r="E9" s="17"/>
      <c r="F9" s="54">
        <f>'Календарь тендеров IaaS'!G59+'Календарь тендеров IaaS'!G69+'Календарь тендеров IaaS'!G84</f>
        <v>44212304.600000001</v>
      </c>
      <c r="G9" s="63">
        <v>0</v>
      </c>
    </row>
    <row r="10" spans="3:7" ht="29.25">
      <c r="C10" s="12" t="s">
        <v>278</v>
      </c>
      <c r="D10" s="33">
        <v>1</v>
      </c>
      <c r="E10" s="33"/>
      <c r="F10" s="65">
        <v>126027664.29000001</v>
      </c>
      <c r="G10" s="63">
        <v>0</v>
      </c>
    </row>
    <row r="11" spans="3:7" ht="29.25">
      <c r="C11" s="12" t="s">
        <v>278</v>
      </c>
      <c r="D11" s="33">
        <v>1</v>
      </c>
      <c r="E11" s="33"/>
      <c r="F11" s="62">
        <v>126027664.29000001</v>
      </c>
      <c r="G11" s="63">
        <v>0</v>
      </c>
    </row>
    <row r="12" spans="3:7">
      <c r="C12" s="67" t="s">
        <v>375</v>
      </c>
      <c r="D12" s="49">
        <v>2</v>
      </c>
      <c r="E12" s="49"/>
      <c r="F12" s="75">
        <f>'Календарь тендеров IaaS'!G44+'Календарь тендеров IaaS'!G61</f>
        <v>42350044.640000001</v>
      </c>
      <c r="G12" s="70">
        <v>-2.1226020568084328E-2</v>
      </c>
    </row>
    <row r="13" spans="3:7">
      <c r="C13" s="68" t="s">
        <v>303</v>
      </c>
      <c r="D13" s="68">
        <v>1</v>
      </c>
      <c r="E13" s="68"/>
      <c r="F13" s="88">
        <v>67896030.219999999</v>
      </c>
      <c r="G13" s="73">
        <v>0</v>
      </c>
    </row>
    <row r="14" spans="3:7">
      <c r="C14" s="91" t="s">
        <v>65</v>
      </c>
      <c r="D14" s="49">
        <v>4</v>
      </c>
      <c r="E14" s="49"/>
      <c r="F14" s="72">
        <f>'Календарь тендеров IaaS'!G16+'Календарь тендеров IaaS'!G60+'Календарь тендеров IaaS'!G101+'Календарь тендеров IaaS'!G114</f>
        <v>168879715.68000001</v>
      </c>
      <c r="G14" s="70">
        <v>-0.29881033701394161</v>
      </c>
    </row>
    <row r="15" spans="3:7">
      <c r="C15" s="71" t="s">
        <v>368</v>
      </c>
      <c r="D15" s="68">
        <v>2</v>
      </c>
      <c r="E15" s="68"/>
      <c r="F15" s="69">
        <f>'Календарь тендеров IaaS'!G35+'Календарь тендеров IaaS'!G40</f>
        <v>96554594.5</v>
      </c>
      <c r="G15" s="70">
        <v>-8.3333400000000002E-2</v>
      </c>
    </row>
    <row r="16" spans="3:7">
      <c r="C16" s="71" t="s">
        <v>349</v>
      </c>
      <c r="D16" s="68">
        <v>1</v>
      </c>
      <c r="E16" s="68"/>
      <c r="F16" s="72">
        <v>32900000</v>
      </c>
      <c r="G16" s="74">
        <v>-4.9480395359247026E-3</v>
      </c>
    </row>
    <row r="17" spans="3:7">
      <c r="C17" s="71" t="s">
        <v>95</v>
      </c>
      <c r="D17" s="68">
        <v>1</v>
      </c>
      <c r="E17" s="68"/>
      <c r="F17" s="72">
        <v>25444642.859999999</v>
      </c>
      <c r="G17" s="74">
        <v>-1.7005261114226001E-2</v>
      </c>
    </row>
    <row r="18" spans="3:7">
      <c r="C18" s="92" t="s">
        <v>1000</v>
      </c>
      <c r="D18" s="68">
        <v>1</v>
      </c>
      <c r="E18" s="68"/>
      <c r="F18" s="88">
        <v>20581787.100000001</v>
      </c>
      <c r="G18" s="70">
        <v>-0.434183305172331</v>
      </c>
    </row>
    <row r="19" spans="3:7">
      <c r="C19" s="67" t="s">
        <v>431</v>
      </c>
      <c r="D19" s="68">
        <v>2</v>
      </c>
      <c r="E19" s="68"/>
      <c r="F19" s="69">
        <f>'Календарь тендеров IaaS'!G8+'Календарь тендеров IaaS'!G96</f>
        <v>4785546</v>
      </c>
      <c r="G19" s="70">
        <v>-0.16894940237340556</v>
      </c>
    </row>
    <row r="20" spans="3:7">
      <c r="C20" s="67" t="s">
        <v>378</v>
      </c>
      <c r="D20" s="49">
        <v>1</v>
      </c>
      <c r="E20" s="49"/>
      <c r="F20" s="77">
        <v>18600000</v>
      </c>
      <c r="G20" s="74">
        <v>-0.23029174425822471</v>
      </c>
    </row>
    <row r="21" spans="3:7">
      <c r="C21" s="71" t="s">
        <v>409</v>
      </c>
      <c r="D21" s="68">
        <v>1</v>
      </c>
      <c r="E21" s="68"/>
      <c r="F21" s="72">
        <v>18437496.43</v>
      </c>
      <c r="G21" s="73">
        <v>0</v>
      </c>
    </row>
    <row r="22" spans="3:7" ht="29.25">
      <c r="C22" s="93" t="s">
        <v>422</v>
      </c>
      <c r="D22" s="68">
        <v>1</v>
      </c>
      <c r="E22" s="68"/>
      <c r="F22" s="72">
        <v>14840528.6</v>
      </c>
      <c r="G22" s="74">
        <v>-4.4688289158177658E-2</v>
      </c>
    </row>
    <row r="23" spans="3:7" ht="29.25">
      <c r="C23" s="71" t="s">
        <v>470</v>
      </c>
      <c r="D23" s="68">
        <v>1</v>
      </c>
      <c r="E23" s="68"/>
      <c r="F23" s="72">
        <v>6346428.5700000003</v>
      </c>
      <c r="G23" s="74">
        <v>-0.25679634456557604</v>
      </c>
    </row>
    <row r="24" spans="3:7">
      <c r="C24" s="71" t="s">
        <v>497</v>
      </c>
      <c r="D24" s="68">
        <v>1</v>
      </c>
      <c r="E24" s="68"/>
      <c r="F24" s="72">
        <v>5477276.6600000001</v>
      </c>
      <c r="G24" s="73">
        <v>0</v>
      </c>
    </row>
    <row r="25" spans="3:7">
      <c r="C25" s="71" t="s">
        <v>489</v>
      </c>
      <c r="D25" s="68">
        <v>1</v>
      </c>
      <c r="E25" s="68"/>
      <c r="F25" s="72">
        <v>4785546</v>
      </c>
      <c r="G25" s="74">
        <v>-0.25839981403998141</v>
      </c>
    </row>
    <row r="26" spans="3:7">
      <c r="C26" s="17" t="s">
        <v>561</v>
      </c>
      <c r="D26" s="17">
        <v>2</v>
      </c>
      <c r="E26" s="17"/>
      <c r="F26" s="54">
        <f>'Календарь тендеров IaaS'!G72+'Календарь тендеров IaaS'!G76</f>
        <v>28000000</v>
      </c>
      <c r="G26" s="59">
        <v>-0.3</v>
      </c>
    </row>
    <row r="27" spans="3:7">
      <c r="C27" s="87" t="s">
        <v>549</v>
      </c>
      <c r="D27">
        <v>1</v>
      </c>
      <c r="F27" s="89">
        <v>1485540</v>
      </c>
      <c r="G27" s="74">
        <v>-0.18002980625931445</v>
      </c>
    </row>
    <row r="29" spans="3:7" ht="28.5">
      <c r="C29" s="41" t="s">
        <v>1001</v>
      </c>
      <c r="D29" s="41" t="s">
        <v>992</v>
      </c>
      <c r="E29" s="41" t="s">
        <v>993</v>
      </c>
    </row>
    <row r="30" spans="3:7">
      <c r="C30" s="17" t="s">
        <v>1002</v>
      </c>
      <c r="D30" s="17">
        <v>1</v>
      </c>
      <c r="E30" s="34">
        <v>10131673.82</v>
      </c>
    </row>
    <row r="31" spans="3:7">
      <c r="C31" s="17" t="s">
        <v>16</v>
      </c>
      <c r="D31" s="17">
        <v>112</v>
      </c>
      <c r="E31" s="56">
        <f>5976101620.27-36375362-6453000</f>
        <v>5933273258.2700005</v>
      </c>
    </row>
    <row r="32" spans="3:7">
      <c r="C32" s="17" t="s">
        <v>280</v>
      </c>
      <c r="D32" s="17">
        <v>10</v>
      </c>
      <c r="E32" s="54">
        <v>491027784.86000001</v>
      </c>
    </row>
    <row r="33" spans="3:5">
      <c r="C33" s="17" t="s">
        <v>421</v>
      </c>
      <c r="D33" s="17">
        <v>1</v>
      </c>
      <c r="E33" s="54">
        <v>52000000</v>
      </c>
    </row>
    <row r="34" spans="3:5">
      <c r="C34" s="17" t="s">
        <v>246</v>
      </c>
      <c r="D34" s="17">
        <v>1</v>
      </c>
      <c r="E34" s="54">
        <v>183650000</v>
      </c>
    </row>
    <row r="35" spans="3:5">
      <c r="C35" s="17" t="s">
        <v>388</v>
      </c>
      <c r="D35" s="17">
        <v>1</v>
      </c>
      <c r="E35" s="54">
        <v>85713864</v>
      </c>
    </row>
    <row r="36" spans="3:5">
      <c r="C36" s="17" t="s">
        <v>116</v>
      </c>
      <c r="D36" s="17">
        <v>38</v>
      </c>
      <c r="E36" s="54">
        <v>1282446720.25</v>
      </c>
    </row>
    <row r="37" spans="3:5">
      <c r="C37" s="17" t="s">
        <v>1003</v>
      </c>
      <c r="D37" s="17">
        <v>2</v>
      </c>
      <c r="E37" s="54">
        <v>17651076</v>
      </c>
    </row>
    <row r="38" spans="3:5">
      <c r="C38" s="42" t="s">
        <v>1004</v>
      </c>
      <c r="D38" s="42">
        <f>SUM(D30:D37)</f>
        <v>166</v>
      </c>
      <c r="E38" s="55">
        <f>SUM(E30:E37)</f>
        <v>8055894377.1999998</v>
      </c>
    </row>
  </sheetData>
  <autoFilter ref="C6:G6" xr:uid="{B3B74393-FB11-4329-B0C6-F8C58D4D2201}">
    <sortState xmlns:xlrd2="http://schemas.microsoft.com/office/spreadsheetml/2017/richdata2" ref="C7:G27">
      <sortCondition descending="1" ref="F6"/>
    </sortState>
  </autoFilter>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8D5AF-A070-472A-B948-9B8D6C08FAAE}">
  <dimension ref="A1:B69"/>
  <sheetViews>
    <sheetView topLeftCell="A55" workbookViewId="0">
      <selection activeCell="D77" sqref="D77"/>
    </sheetView>
  </sheetViews>
  <sheetFormatPr defaultColWidth="10.28515625" defaultRowHeight="15"/>
  <cols>
    <col min="1" max="1" width="52.140625" customWidth="1"/>
    <col min="2" max="2" width="0" hidden="1" customWidth="1"/>
  </cols>
  <sheetData>
    <row r="1" spans="1:2" ht="30.75">
      <c r="A1" s="30" t="s">
        <v>1005</v>
      </c>
      <c r="B1" s="16" t="s">
        <v>1006</v>
      </c>
    </row>
    <row r="2" spans="1:2">
      <c r="A2" s="17" t="s">
        <v>292</v>
      </c>
      <c r="B2" s="19"/>
    </row>
    <row r="3" spans="1:2">
      <c r="A3" s="17" t="s">
        <v>1007</v>
      </c>
      <c r="B3" s="20"/>
    </row>
    <row r="4" spans="1:2">
      <c r="A4" s="17" t="s">
        <v>1008</v>
      </c>
      <c r="B4" s="20"/>
    </row>
    <row r="5" spans="1:2">
      <c r="A5" s="17" t="s">
        <v>1009</v>
      </c>
      <c r="B5" s="19"/>
    </row>
    <row r="6" spans="1:2">
      <c r="A6" s="17" t="s">
        <v>1010</v>
      </c>
      <c r="B6" s="19"/>
    </row>
    <row r="7" spans="1:2">
      <c r="A7" s="17" t="s">
        <v>231</v>
      </c>
      <c r="B7" s="21"/>
    </row>
    <row r="8" spans="1:2">
      <c r="A8" s="17" t="s">
        <v>1011</v>
      </c>
      <c r="B8" s="22"/>
    </row>
    <row r="9" spans="1:2">
      <c r="A9" s="17" t="s">
        <v>1012</v>
      </c>
      <c r="B9" s="22"/>
    </row>
    <row r="10" spans="1:2">
      <c r="A10" s="17" t="s">
        <v>1013</v>
      </c>
      <c r="B10" s="22"/>
    </row>
    <row r="11" spans="1:2">
      <c r="A11" s="17" t="s">
        <v>1014</v>
      </c>
      <c r="B11" s="22"/>
    </row>
    <row r="12" spans="1:2">
      <c r="A12" s="17" t="s">
        <v>1015</v>
      </c>
      <c r="B12" s="23"/>
    </row>
    <row r="13" spans="1:2">
      <c r="A13" s="17" t="s">
        <v>1016</v>
      </c>
      <c r="B13" s="19"/>
    </row>
    <row r="14" spans="1:2">
      <c r="A14" s="17" t="s">
        <v>1017</v>
      </c>
      <c r="B14" s="24"/>
    </row>
    <row r="15" spans="1:2">
      <c r="A15" s="17" t="s">
        <v>1018</v>
      </c>
      <c r="B15" s="19"/>
    </row>
    <row r="16" spans="1:2">
      <c r="A16" s="17" t="s">
        <v>1019</v>
      </c>
      <c r="B16" s="25"/>
    </row>
    <row r="17" spans="1:2">
      <c r="A17" s="17" t="s">
        <v>1020</v>
      </c>
      <c r="B17" s="26"/>
    </row>
    <row r="18" spans="1:2">
      <c r="A18" s="17" t="s">
        <v>1021</v>
      </c>
      <c r="B18" s="27"/>
    </row>
    <row r="19" spans="1:2">
      <c r="A19" s="17" t="s">
        <v>1022</v>
      </c>
      <c r="B19" s="19"/>
    </row>
    <row r="20" spans="1:2">
      <c r="A20" s="17" t="s">
        <v>1023</v>
      </c>
      <c r="B20" s="25"/>
    </row>
    <row r="21" spans="1:2" hidden="1">
      <c r="A21" s="17" t="s">
        <v>1024</v>
      </c>
      <c r="B21" s="19"/>
    </row>
    <row r="22" spans="1:2">
      <c r="A22" s="17" t="s">
        <v>1025</v>
      </c>
      <c r="B22" s="20"/>
    </row>
    <row r="23" spans="1:2">
      <c r="A23" s="17" t="s">
        <v>1026</v>
      </c>
      <c r="B23" s="28"/>
    </row>
    <row r="24" spans="1:2">
      <c r="A24" s="17" t="s">
        <v>1027</v>
      </c>
      <c r="B24" s="28"/>
    </row>
    <row r="25" spans="1:2">
      <c r="A25" s="17" t="s">
        <v>1028</v>
      </c>
      <c r="B25" s="19"/>
    </row>
    <row r="26" spans="1:2">
      <c r="A26" s="17" t="s">
        <v>1029</v>
      </c>
      <c r="B26" s="19"/>
    </row>
    <row r="27" spans="1:2">
      <c r="A27" s="17" t="s">
        <v>1030</v>
      </c>
      <c r="B27" s="19"/>
    </row>
    <row r="28" spans="1:2">
      <c r="A28" s="17" t="s">
        <v>1031</v>
      </c>
      <c r="B28" s="27"/>
    </row>
    <row r="29" spans="1:2">
      <c r="A29" s="17" t="s">
        <v>355</v>
      </c>
      <c r="B29" s="25"/>
    </row>
    <row r="30" spans="1:2">
      <c r="A30" s="17" t="s">
        <v>1032</v>
      </c>
      <c r="B30" s="29"/>
    </row>
    <row r="31" spans="1:2">
      <c r="A31" s="17" t="s">
        <v>1033</v>
      </c>
      <c r="B31" s="29"/>
    </row>
    <row r="32" spans="1:2">
      <c r="A32" s="17" t="s">
        <v>1034</v>
      </c>
      <c r="B32" s="29"/>
    </row>
    <row r="33" spans="1:2">
      <c r="A33" s="17" t="s">
        <v>1035</v>
      </c>
      <c r="B33" s="29"/>
    </row>
    <row r="34" spans="1:2">
      <c r="A34" s="17" t="s">
        <v>1036</v>
      </c>
      <c r="B34" s="29"/>
    </row>
    <row r="35" spans="1:2">
      <c r="A35" s="17" t="s">
        <v>1037</v>
      </c>
      <c r="B35" s="29"/>
    </row>
    <row r="36" spans="1:2">
      <c r="A36" s="17" t="s">
        <v>1038</v>
      </c>
      <c r="B36" s="29"/>
    </row>
    <row r="37" spans="1:2">
      <c r="A37" s="17" t="s">
        <v>1039</v>
      </c>
      <c r="B37" s="29"/>
    </row>
    <row r="38" spans="1:2">
      <c r="A38" s="18" t="s">
        <v>1040</v>
      </c>
      <c r="B38" s="29"/>
    </row>
    <row r="39" spans="1:2">
      <c r="A39" s="17" t="s">
        <v>1041</v>
      </c>
      <c r="B39" s="29"/>
    </row>
    <row r="40" spans="1:2" ht="29.25">
      <c r="A40" s="18" t="s">
        <v>1042</v>
      </c>
      <c r="B40" s="29"/>
    </row>
    <row r="41" spans="1:2">
      <c r="A41" s="17" t="s">
        <v>1043</v>
      </c>
      <c r="B41" s="29"/>
    </row>
    <row r="42" spans="1:2">
      <c r="A42" s="17" t="s">
        <v>1044</v>
      </c>
    </row>
    <row r="43" spans="1:2">
      <c r="A43" s="17" t="s">
        <v>1045</v>
      </c>
    </row>
    <row r="44" spans="1:2">
      <c r="A44" s="17" t="s">
        <v>1046</v>
      </c>
    </row>
    <row r="45" spans="1:2">
      <c r="A45" s="17" t="s">
        <v>1047</v>
      </c>
    </row>
    <row r="46" spans="1:2">
      <c r="A46" s="17" t="s">
        <v>1048</v>
      </c>
    </row>
    <row r="47" spans="1:2">
      <c r="A47" s="17" t="s">
        <v>1049</v>
      </c>
    </row>
    <row r="48" spans="1:2">
      <c r="A48" s="17" t="s">
        <v>1050</v>
      </c>
    </row>
    <row r="49" spans="1:1">
      <c r="A49" s="17" t="s">
        <v>1051</v>
      </c>
    </row>
    <row r="50" spans="1:1">
      <c r="A50" s="17" t="s">
        <v>1052</v>
      </c>
    </row>
    <row r="51" spans="1:1">
      <c r="A51" s="17" t="s">
        <v>1053</v>
      </c>
    </row>
    <row r="52" spans="1:1">
      <c r="A52" s="17" t="s">
        <v>1054</v>
      </c>
    </row>
    <row r="53" spans="1:1">
      <c r="A53" s="17" t="s">
        <v>1055</v>
      </c>
    </row>
    <row r="54" spans="1:1">
      <c r="A54" s="17" t="s">
        <v>1056</v>
      </c>
    </row>
    <row r="55" spans="1:1">
      <c r="A55" s="17" t="s">
        <v>1057</v>
      </c>
    </row>
    <row r="56" spans="1:1">
      <c r="A56" s="17" t="s">
        <v>1058</v>
      </c>
    </row>
    <row r="57" spans="1:1">
      <c r="A57" s="17" t="s">
        <v>1059</v>
      </c>
    </row>
    <row r="58" spans="1:1">
      <c r="A58" s="17" t="s">
        <v>1060</v>
      </c>
    </row>
    <row r="59" spans="1:1">
      <c r="A59" s="17" t="s">
        <v>1061</v>
      </c>
    </row>
    <row r="60" spans="1:1">
      <c r="A60" s="17" t="s">
        <v>1062</v>
      </c>
    </row>
    <row r="61" spans="1:1">
      <c r="A61" s="17" t="s">
        <v>1063</v>
      </c>
    </row>
    <row r="62" spans="1:1">
      <c r="A62" s="17" t="s">
        <v>1064</v>
      </c>
    </row>
    <row r="63" spans="1:1">
      <c r="A63" s="17" t="s">
        <v>1065</v>
      </c>
    </row>
    <row r="64" spans="1:1">
      <c r="A64" s="17" t="s">
        <v>1066</v>
      </c>
    </row>
    <row r="65" spans="1:1">
      <c r="A65" s="17" t="s">
        <v>1067</v>
      </c>
    </row>
    <row r="66" spans="1:1">
      <c r="A66" s="17" t="s">
        <v>1068</v>
      </c>
    </row>
    <row r="67" spans="1:1">
      <c r="A67" s="17" t="s">
        <v>1069</v>
      </c>
    </row>
    <row r="68" spans="1:1">
      <c r="A68" s="17" t="s">
        <v>1070</v>
      </c>
    </row>
    <row r="69" spans="1:1">
      <c r="A69" s="17" t="s">
        <v>1071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2AA26-0716-4044-84B8-12C487AB6885}">
  <dimension ref="A1:L40"/>
  <sheetViews>
    <sheetView workbookViewId="0">
      <selection activeCell="C11" sqref="C11"/>
    </sheetView>
  </sheetViews>
  <sheetFormatPr defaultRowHeight="15"/>
  <cols>
    <col min="1" max="1" width="17.85546875" style="14" bestFit="1" customWidth="1"/>
    <col min="2" max="2" width="16" style="14" bestFit="1" customWidth="1"/>
    <col min="3" max="4" width="36.5703125" style="14" bestFit="1" customWidth="1"/>
    <col min="5" max="6" width="20" style="14" customWidth="1"/>
    <col min="7" max="7" width="36.5703125" style="14" bestFit="1" customWidth="1"/>
    <col min="8" max="8" width="9.5703125" style="14" bestFit="1" customWidth="1"/>
    <col min="9" max="9" width="24.7109375" style="14" bestFit="1" customWidth="1"/>
    <col min="10" max="10" width="13" style="14" bestFit="1" customWidth="1"/>
    <col min="11" max="11" width="16" style="14" bestFit="1" customWidth="1"/>
    <col min="12" max="12" width="36.5703125" style="14" bestFit="1" customWidth="1"/>
    <col min="13" max="16384" width="9.140625" style="14"/>
  </cols>
  <sheetData>
    <row r="1" spans="1:12">
      <c r="A1" s="219" t="s">
        <v>576</v>
      </c>
      <c r="B1" s="219" t="s">
        <v>1072</v>
      </c>
      <c r="C1" s="220" t="s">
        <v>577</v>
      </c>
      <c r="D1" s="220" t="s">
        <v>578</v>
      </c>
      <c r="E1" s="219" t="s">
        <v>579</v>
      </c>
      <c r="F1" s="219" t="s">
        <v>1073</v>
      </c>
      <c r="G1" s="220" t="s">
        <v>1074</v>
      </c>
      <c r="H1" s="219" t="s">
        <v>582</v>
      </c>
      <c r="I1" s="219" t="s">
        <v>580</v>
      </c>
      <c r="J1" s="219" t="s">
        <v>583</v>
      </c>
      <c r="K1" s="219" t="s">
        <v>1075</v>
      </c>
      <c r="L1" s="220" t="s">
        <v>1076</v>
      </c>
    </row>
    <row r="2" spans="1:12" ht="115.5">
      <c r="A2" s="224">
        <v>190940025321</v>
      </c>
      <c r="B2" s="224" t="s">
        <v>1077</v>
      </c>
      <c r="C2" s="225" t="s">
        <v>1078</v>
      </c>
      <c r="D2" s="226" t="s">
        <v>264</v>
      </c>
      <c r="E2" s="227">
        <v>18900000000.849998</v>
      </c>
      <c r="F2" s="227">
        <v>0</v>
      </c>
      <c r="G2" s="225" t="s">
        <v>1079</v>
      </c>
      <c r="H2" s="224" t="s">
        <v>589</v>
      </c>
      <c r="I2" s="228" t="s">
        <v>1080</v>
      </c>
      <c r="J2" s="224" t="s">
        <v>590</v>
      </c>
      <c r="K2" s="224" t="s">
        <v>1081</v>
      </c>
      <c r="L2" s="225" t="s">
        <v>1082</v>
      </c>
    </row>
    <row r="3" spans="1:12" ht="87">
      <c r="A3" s="229">
        <v>920940000211</v>
      </c>
      <c r="B3" s="229" t="s">
        <v>1083</v>
      </c>
      <c r="C3" s="230" t="s">
        <v>1084</v>
      </c>
      <c r="D3" s="231" t="s">
        <v>1085</v>
      </c>
      <c r="E3" s="232">
        <v>2429939873.5300002</v>
      </c>
      <c r="F3" s="232">
        <v>2429939873.5300002</v>
      </c>
      <c r="G3" s="230" t="s">
        <v>1086</v>
      </c>
      <c r="H3" s="229" t="s">
        <v>589</v>
      </c>
      <c r="I3" s="233" t="s">
        <v>1080</v>
      </c>
      <c r="J3" s="229" t="s">
        <v>590</v>
      </c>
      <c r="K3" s="229" t="s">
        <v>1087</v>
      </c>
      <c r="L3" s="230" t="s">
        <v>1088</v>
      </c>
    </row>
    <row r="4" spans="1:12" ht="87">
      <c r="A4" s="229">
        <v>920940000211</v>
      </c>
      <c r="B4" s="229" t="s">
        <v>1089</v>
      </c>
      <c r="C4" s="230" t="s">
        <v>1084</v>
      </c>
      <c r="D4" s="231" t="s">
        <v>1085</v>
      </c>
      <c r="E4" s="232">
        <v>2072618444.95</v>
      </c>
      <c r="F4" s="232">
        <v>2072618444.95</v>
      </c>
      <c r="G4" s="230" t="s">
        <v>1086</v>
      </c>
      <c r="H4" s="229" t="s">
        <v>589</v>
      </c>
      <c r="I4" s="233" t="s">
        <v>1080</v>
      </c>
      <c r="J4" s="229" t="s">
        <v>590</v>
      </c>
      <c r="K4" s="229" t="s">
        <v>1090</v>
      </c>
      <c r="L4" s="230" t="s">
        <v>1091</v>
      </c>
    </row>
    <row r="5" spans="1:12" ht="60.75">
      <c r="A5" s="219">
        <v>960440000151</v>
      </c>
      <c r="B5" s="219" t="s">
        <v>1092</v>
      </c>
      <c r="C5" s="220" t="s">
        <v>453</v>
      </c>
      <c r="D5" s="221" t="s">
        <v>1093</v>
      </c>
      <c r="E5" s="222">
        <v>2020154408.1199999</v>
      </c>
      <c r="F5" s="222">
        <v>1010077204.0599999</v>
      </c>
      <c r="G5" s="220" t="s">
        <v>1094</v>
      </c>
      <c r="H5" s="219" t="s">
        <v>589</v>
      </c>
      <c r="I5" s="223" t="s">
        <v>1003</v>
      </c>
      <c r="J5" s="219" t="s">
        <v>604</v>
      </c>
      <c r="K5" s="219" t="s">
        <v>1095</v>
      </c>
      <c r="L5" s="220" t="s">
        <v>1096</v>
      </c>
    </row>
    <row r="6" spans="1:12" ht="29.25">
      <c r="A6" s="219">
        <v>140002217</v>
      </c>
      <c r="B6" s="219" t="s">
        <v>1097</v>
      </c>
      <c r="C6" s="234" t="s">
        <v>271</v>
      </c>
      <c r="D6" s="221" t="s">
        <v>31</v>
      </c>
      <c r="E6" s="222">
        <v>1344475556.79</v>
      </c>
      <c r="F6" s="222">
        <v>1344475556.79</v>
      </c>
      <c r="G6" s="234" t="s">
        <v>237</v>
      </c>
      <c r="H6" s="219" t="s">
        <v>589</v>
      </c>
      <c r="I6" s="223" t="s">
        <v>116</v>
      </c>
      <c r="J6" s="219" t="s">
        <v>604</v>
      </c>
      <c r="K6" s="219" t="s">
        <v>1097</v>
      </c>
      <c r="L6" s="220" t="s">
        <v>1098</v>
      </c>
    </row>
    <row r="7" spans="1:12" ht="60.75">
      <c r="A7" s="229">
        <v>920940000211</v>
      </c>
      <c r="B7" s="229" t="s">
        <v>1099</v>
      </c>
      <c r="C7" s="230" t="s">
        <v>1084</v>
      </c>
      <c r="D7" s="231" t="s">
        <v>58</v>
      </c>
      <c r="E7" s="232">
        <v>1021666666.67</v>
      </c>
      <c r="F7" s="232">
        <v>1021666666.67</v>
      </c>
      <c r="G7" s="230" t="s">
        <v>1086</v>
      </c>
      <c r="H7" s="229" t="s">
        <v>589</v>
      </c>
      <c r="I7" s="233" t="s">
        <v>1080</v>
      </c>
      <c r="J7" s="229" t="s">
        <v>590</v>
      </c>
      <c r="K7" s="229" t="s">
        <v>1100</v>
      </c>
      <c r="L7" s="230" t="s">
        <v>1101</v>
      </c>
    </row>
    <row r="8" spans="1:12" ht="30.75">
      <c r="A8" s="219">
        <v>120940011577</v>
      </c>
      <c r="B8" s="219" t="s">
        <v>1102</v>
      </c>
      <c r="C8" s="220" t="s">
        <v>684</v>
      </c>
      <c r="D8" s="221" t="s">
        <v>1103</v>
      </c>
      <c r="E8" s="222">
        <v>894111680</v>
      </c>
      <c r="F8" s="222">
        <v>894111680</v>
      </c>
      <c r="G8" s="220" t="s">
        <v>1094</v>
      </c>
      <c r="H8" s="219" t="s">
        <v>589</v>
      </c>
      <c r="I8" s="223" t="s">
        <v>1003</v>
      </c>
      <c r="J8" s="219" t="s">
        <v>604</v>
      </c>
      <c r="K8" s="219" t="s">
        <v>1104</v>
      </c>
      <c r="L8" s="220" t="s">
        <v>1105</v>
      </c>
    </row>
    <row r="9" spans="1:12" ht="60.75">
      <c r="A9" s="219">
        <v>960440000151</v>
      </c>
      <c r="B9" s="219" t="s">
        <v>1106</v>
      </c>
      <c r="C9" s="220" t="s">
        <v>453</v>
      </c>
      <c r="D9" s="221" t="s">
        <v>1093</v>
      </c>
      <c r="E9" s="222">
        <v>600014105.39999998</v>
      </c>
      <c r="F9" s="222">
        <v>300007052.69999999</v>
      </c>
      <c r="G9" s="220" t="s">
        <v>1094</v>
      </c>
      <c r="H9" s="219" t="s">
        <v>589</v>
      </c>
      <c r="I9" s="223" t="s">
        <v>1003</v>
      </c>
      <c r="J9" s="219" t="s">
        <v>604</v>
      </c>
      <c r="K9" s="219" t="s">
        <v>1107</v>
      </c>
      <c r="L9" s="220" t="s">
        <v>1096</v>
      </c>
    </row>
    <row r="10" spans="1:12" ht="45.75">
      <c r="A10" s="219">
        <v>80940010300</v>
      </c>
      <c r="B10" s="219" t="s">
        <v>1108</v>
      </c>
      <c r="C10" s="220" t="s">
        <v>1109</v>
      </c>
      <c r="D10" s="221" t="s">
        <v>1110</v>
      </c>
      <c r="E10" s="222">
        <v>339999999</v>
      </c>
      <c r="F10" s="222">
        <v>113333333</v>
      </c>
      <c r="G10" s="220"/>
      <c r="H10" s="219" t="s">
        <v>589</v>
      </c>
      <c r="I10" s="223" t="s">
        <v>1111</v>
      </c>
      <c r="J10" s="219" t="s">
        <v>604</v>
      </c>
      <c r="K10" s="219" t="s">
        <v>1112</v>
      </c>
      <c r="L10" s="220" t="s">
        <v>1113</v>
      </c>
    </row>
    <row r="11" spans="1:12" ht="45.75">
      <c r="A11" s="219">
        <v>60640007336</v>
      </c>
      <c r="B11" s="219" t="s">
        <v>1114</v>
      </c>
      <c r="C11" s="220" t="s">
        <v>587</v>
      </c>
      <c r="D11" s="221" t="s">
        <v>1115</v>
      </c>
      <c r="E11" s="222">
        <v>297180068</v>
      </c>
      <c r="F11" s="222">
        <v>297180068</v>
      </c>
      <c r="G11" s="220" t="s">
        <v>1116</v>
      </c>
      <c r="H11" s="219" t="s">
        <v>589</v>
      </c>
      <c r="I11" s="223" t="s">
        <v>1080</v>
      </c>
      <c r="J11" s="219" t="s">
        <v>590</v>
      </c>
      <c r="K11" s="219" t="s">
        <v>1117</v>
      </c>
      <c r="L11" s="220" t="s">
        <v>1118</v>
      </c>
    </row>
    <row r="12" spans="1:12" ht="30.75">
      <c r="A12" s="219">
        <v>120940011577</v>
      </c>
      <c r="B12" s="219" t="s">
        <v>1119</v>
      </c>
      <c r="C12" s="220" t="s">
        <v>684</v>
      </c>
      <c r="D12" s="221" t="s">
        <v>355</v>
      </c>
      <c r="E12" s="222">
        <v>194731096.53999999</v>
      </c>
      <c r="F12" s="222">
        <v>97365548.269999996</v>
      </c>
      <c r="G12" s="220" t="s">
        <v>1094</v>
      </c>
      <c r="H12" s="219" t="s">
        <v>589</v>
      </c>
      <c r="I12" s="223" t="s">
        <v>1003</v>
      </c>
      <c r="J12" s="219" t="s">
        <v>1120</v>
      </c>
      <c r="K12" s="219" t="s">
        <v>1121</v>
      </c>
      <c r="L12" s="220" t="s">
        <v>1122</v>
      </c>
    </row>
    <row r="13" spans="1:12" ht="72.75">
      <c r="A13" s="219">
        <v>130540020197</v>
      </c>
      <c r="B13" s="219" t="s">
        <v>1123</v>
      </c>
      <c r="C13" s="220" t="s">
        <v>1124</v>
      </c>
      <c r="D13" s="221" t="s">
        <v>115</v>
      </c>
      <c r="E13" s="222">
        <v>162145320</v>
      </c>
      <c r="F13" s="222">
        <v>162145320</v>
      </c>
      <c r="G13" s="220" t="s">
        <v>1125</v>
      </c>
      <c r="H13" s="219" t="s">
        <v>589</v>
      </c>
      <c r="I13" s="223" t="s">
        <v>80</v>
      </c>
      <c r="J13" s="219" t="s">
        <v>604</v>
      </c>
      <c r="K13" s="219" t="s">
        <v>1126</v>
      </c>
      <c r="L13" s="220" t="s">
        <v>1127</v>
      </c>
    </row>
    <row r="14" spans="1:12" ht="45.75">
      <c r="A14" s="219">
        <v>60640004748</v>
      </c>
      <c r="B14" s="219" t="s">
        <v>1128</v>
      </c>
      <c r="C14" s="220" t="s">
        <v>1129</v>
      </c>
      <c r="D14" s="221" t="s">
        <v>1130</v>
      </c>
      <c r="E14" s="222">
        <v>137605964.31999999</v>
      </c>
      <c r="F14" s="222">
        <v>137605964.31999999</v>
      </c>
      <c r="G14" s="220" t="s">
        <v>237</v>
      </c>
      <c r="H14" s="219" t="s">
        <v>589</v>
      </c>
      <c r="I14" s="223" t="s">
        <v>116</v>
      </c>
      <c r="J14" s="219" t="s">
        <v>604</v>
      </c>
      <c r="K14" s="219" t="s">
        <v>1128</v>
      </c>
      <c r="L14" s="220" t="s">
        <v>1098</v>
      </c>
    </row>
    <row r="15" spans="1:12" ht="30.75">
      <c r="A15" s="219">
        <v>120940011577</v>
      </c>
      <c r="B15" s="219" t="s">
        <v>1131</v>
      </c>
      <c r="C15" s="220" t="s">
        <v>684</v>
      </c>
      <c r="D15" s="221" t="s">
        <v>1130</v>
      </c>
      <c r="E15" s="222">
        <v>130500849</v>
      </c>
      <c r="F15" s="222">
        <v>130500849</v>
      </c>
      <c r="G15" s="220" t="s">
        <v>1094</v>
      </c>
      <c r="H15" s="219" t="s">
        <v>589</v>
      </c>
      <c r="I15" s="223" t="s">
        <v>1003</v>
      </c>
      <c r="J15" s="219" t="s">
        <v>604</v>
      </c>
      <c r="K15" s="219" t="s">
        <v>1132</v>
      </c>
      <c r="L15" s="220" t="s">
        <v>1122</v>
      </c>
    </row>
    <row r="16" spans="1:12" ht="30.75">
      <c r="A16" s="219">
        <v>120940011577</v>
      </c>
      <c r="B16" s="219" t="s">
        <v>1133</v>
      </c>
      <c r="C16" s="220" t="s">
        <v>684</v>
      </c>
      <c r="D16" s="221" t="s">
        <v>1130</v>
      </c>
      <c r="E16" s="222">
        <v>130500849</v>
      </c>
      <c r="F16" s="222">
        <v>130500849</v>
      </c>
      <c r="G16" s="220" t="s">
        <v>1134</v>
      </c>
      <c r="H16" s="219" t="s">
        <v>589</v>
      </c>
      <c r="I16" s="223" t="s">
        <v>1003</v>
      </c>
      <c r="J16" s="219" t="s">
        <v>604</v>
      </c>
      <c r="K16" s="219" t="s">
        <v>1135</v>
      </c>
      <c r="L16" s="220" t="s">
        <v>1122</v>
      </c>
    </row>
    <row r="17" spans="1:12" ht="60.75">
      <c r="A17" s="219">
        <v>960440000151</v>
      </c>
      <c r="B17" s="219" t="s">
        <v>1136</v>
      </c>
      <c r="C17" s="220" t="s">
        <v>453</v>
      </c>
      <c r="D17" s="221" t="s">
        <v>355</v>
      </c>
      <c r="E17" s="222">
        <v>121423001.79000001</v>
      </c>
      <c r="F17" s="222">
        <v>40474333.93</v>
      </c>
      <c r="G17" s="220" t="s">
        <v>1094</v>
      </c>
      <c r="H17" s="219" t="s">
        <v>589</v>
      </c>
      <c r="I17" s="223" t="s">
        <v>1003</v>
      </c>
      <c r="J17" s="219" t="s">
        <v>604</v>
      </c>
      <c r="K17" s="219" t="s">
        <v>1137</v>
      </c>
      <c r="L17" s="220" t="s">
        <v>1096</v>
      </c>
    </row>
    <row r="18" spans="1:12">
      <c r="A18" s="219">
        <v>980540002879</v>
      </c>
      <c r="B18" s="219" t="s">
        <v>1138</v>
      </c>
      <c r="C18" s="220" t="s">
        <v>832</v>
      </c>
      <c r="D18" s="221" t="s">
        <v>231</v>
      </c>
      <c r="E18" s="222">
        <v>120600000</v>
      </c>
      <c r="F18" s="222">
        <v>120600000</v>
      </c>
      <c r="G18" s="220" t="s">
        <v>1139</v>
      </c>
      <c r="H18" s="219" t="s">
        <v>589</v>
      </c>
      <c r="I18" s="223" t="s">
        <v>116</v>
      </c>
      <c r="J18" s="219" t="s">
        <v>590</v>
      </c>
      <c r="K18" s="219" t="s">
        <v>1140</v>
      </c>
      <c r="L18" s="220" t="s">
        <v>1098</v>
      </c>
    </row>
    <row r="19" spans="1:12" ht="30.75">
      <c r="A19" s="219">
        <v>10140000143</v>
      </c>
      <c r="B19" s="219" t="s">
        <v>1141</v>
      </c>
      <c r="C19" s="220" t="s">
        <v>1142</v>
      </c>
      <c r="D19" s="221" t="s">
        <v>1143</v>
      </c>
      <c r="E19" s="222">
        <v>120000000</v>
      </c>
      <c r="F19" s="222">
        <v>40000000</v>
      </c>
      <c r="G19" s="220"/>
      <c r="H19" s="219" t="s">
        <v>589</v>
      </c>
      <c r="I19" s="223" t="s">
        <v>1111</v>
      </c>
      <c r="J19" s="219" t="s">
        <v>604</v>
      </c>
      <c r="K19" s="219" t="s">
        <v>1144</v>
      </c>
      <c r="L19" s="220" t="s">
        <v>1145</v>
      </c>
    </row>
    <row r="20" spans="1:12" ht="45.75">
      <c r="A20" s="219">
        <v>60640004748</v>
      </c>
      <c r="B20" s="219" t="s">
        <v>1146</v>
      </c>
      <c r="C20" s="220" t="s">
        <v>1129</v>
      </c>
      <c r="D20" s="221" t="s">
        <v>1130</v>
      </c>
      <c r="E20" s="222">
        <v>116929844.56999999</v>
      </c>
      <c r="F20" s="222">
        <v>116929844.56999999</v>
      </c>
      <c r="G20" s="220" t="s">
        <v>237</v>
      </c>
      <c r="H20" s="219" t="s">
        <v>589</v>
      </c>
      <c r="I20" s="223" t="s">
        <v>116</v>
      </c>
      <c r="J20" s="219" t="s">
        <v>604</v>
      </c>
      <c r="K20" s="219" t="s">
        <v>1146</v>
      </c>
      <c r="L20" s="220" t="s">
        <v>1098</v>
      </c>
    </row>
    <row r="21" spans="1:12" ht="30.75">
      <c r="A21" s="219">
        <v>120940011577</v>
      </c>
      <c r="B21" s="219" t="s">
        <v>1147</v>
      </c>
      <c r="C21" s="220" t="s">
        <v>684</v>
      </c>
      <c r="D21" s="221" t="s">
        <v>355</v>
      </c>
      <c r="E21" s="222">
        <v>112800000</v>
      </c>
      <c r="F21" s="222">
        <v>18800000</v>
      </c>
      <c r="G21" s="220" t="s">
        <v>1134</v>
      </c>
      <c r="H21" s="219" t="s">
        <v>589</v>
      </c>
      <c r="I21" s="223" t="s">
        <v>1003</v>
      </c>
      <c r="J21" s="219" t="s">
        <v>604</v>
      </c>
      <c r="K21" s="219" t="s">
        <v>1148</v>
      </c>
      <c r="L21" s="220" t="s">
        <v>1122</v>
      </c>
    </row>
    <row r="22" spans="1:12" ht="30.75">
      <c r="A22" s="219">
        <v>10140000143</v>
      </c>
      <c r="B22" s="219" t="s">
        <v>1149</v>
      </c>
      <c r="C22" s="220" t="s">
        <v>1142</v>
      </c>
      <c r="D22" s="221" t="s">
        <v>1150</v>
      </c>
      <c r="E22" s="222">
        <v>100000000</v>
      </c>
      <c r="F22" s="222">
        <v>100000000</v>
      </c>
      <c r="G22" s="220"/>
      <c r="H22" s="219" t="s">
        <v>589</v>
      </c>
      <c r="I22" s="223" t="s">
        <v>1111</v>
      </c>
      <c r="J22" s="219" t="s">
        <v>604</v>
      </c>
      <c r="K22" s="219" t="s">
        <v>1144</v>
      </c>
      <c r="L22" s="220" t="s">
        <v>1145</v>
      </c>
    </row>
    <row r="23" spans="1:12" ht="60.75">
      <c r="A23" s="219">
        <v>960440000151</v>
      </c>
      <c r="B23" s="219" t="s">
        <v>1151</v>
      </c>
      <c r="C23" s="220" t="s">
        <v>453</v>
      </c>
      <c r="D23" s="221" t="s">
        <v>355</v>
      </c>
      <c r="E23" s="222">
        <v>66425901.780000001</v>
      </c>
      <c r="F23" s="222">
        <v>33212950.890000001</v>
      </c>
      <c r="G23" s="220" t="s">
        <v>1094</v>
      </c>
      <c r="H23" s="219" t="s">
        <v>589</v>
      </c>
      <c r="I23" s="223" t="s">
        <v>1003</v>
      </c>
      <c r="J23" s="219" t="s">
        <v>1120</v>
      </c>
      <c r="K23" s="219" t="s">
        <v>1152</v>
      </c>
      <c r="L23" s="220" t="s">
        <v>1096</v>
      </c>
    </row>
    <row r="24" spans="1:12" ht="45.75">
      <c r="A24" s="219">
        <v>980741000528</v>
      </c>
      <c r="B24" s="219" t="s">
        <v>1153</v>
      </c>
      <c r="C24" s="220" t="s">
        <v>377</v>
      </c>
      <c r="D24" s="221" t="s">
        <v>1154</v>
      </c>
      <c r="E24" s="222">
        <v>60000000</v>
      </c>
      <c r="F24" s="222">
        <v>60000000</v>
      </c>
      <c r="G24" s="220" t="s">
        <v>1155</v>
      </c>
      <c r="H24" s="219" t="s">
        <v>589</v>
      </c>
      <c r="I24" s="223" t="s">
        <v>116</v>
      </c>
      <c r="J24" s="219" t="s">
        <v>590</v>
      </c>
      <c r="K24" s="219" t="s">
        <v>1156</v>
      </c>
      <c r="L24" s="220" t="s">
        <v>1098</v>
      </c>
    </row>
    <row r="25" spans="1:12" ht="45.75">
      <c r="A25" s="219">
        <v>980741000528</v>
      </c>
      <c r="B25" s="219" t="s">
        <v>1157</v>
      </c>
      <c r="C25" s="220" t="s">
        <v>377</v>
      </c>
      <c r="D25" s="221" t="s">
        <v>1154</v>
      </c>
      <c r="E25" s="222">
        <v>60000000</v>
      </c>
      <c r="F25" s="222">
        <v>60000000</v>
      </c>
      <c r="G25" s="220" t="s">
        <v>1139</v>
      </c>
      <c r="H25" s="219" t="s">
        <v>589</v>
      </c>
      <c r="I25" s="223" t="s">
        <v>116</v>
      </c>
      <c r="J25" s="219" t="s">
        <v>590</v>
      </c>
      <c r="K25" s="219" t="s">
        <v>1158</v>
      </c>
      <c r="L25" s="220" t="s">
        <v>1098</v>
      </c>
    </row>
    <row r="26" spans="1:12" ht="60.75">
      <c r="A26" s="219">
        <v>110740017735</v>
      </c>
      <c r="B26" s="219" t="s">
        <v>1159</v>
      </c>
      <c r="C26" s="220" t="s">
        <v>691</v>
      </c>
      <c r="D26" s="221" t="s">
        <v>58</v>
      </c>
      <c r="E26" s="222">
        <v>54329337.920000002</v>
      </c>
      <c r="F26" s="222">
        <v>54329337.920000002</v>
      </c>
      <c r="G26" s="220" t="s">
        <v>1086</v>
      </c>
      <c r="H26" s="219" t="s">
        <v>589</v>
      </c>
      <c r="I26" s="223" t="s">
        <v>1080</v>
      </c>
      <c r="J26" s="219" t="s">
        <v>590</v>
      </c>
      <c r="K26" s="219" t="s">
        <v>1160</v>
      </c>
      <c r="L26" s="220" t="s">
        <v>1161</v>
      </c>
    </row>
    <row r="27" spans="1:12" ht="30.75">
      <c r="A27" s="219">
        <v>120940011577</v>
      </c>
      <c r="B27" s="219" t="s">
        <v>1162</v>
      </c>
      <c r="C27" s="220" t="s">
        <v>684</v>
      </c>
      <c r="D27" s="221" t="s">
        <v>1130</v>
      </c>
      <c r="E27" s="222">
        <v>40683213</v>
      </c>
      <c r="F27" s="222">
        <v>40683213</v>
      </c>
      <c r="G27" s="220" t="s">
        <v>1094</v>
      </c>
      <c r="H27" s="219" t="s">
        <v>589</v>
      </c>
      <c r="I27" s="223" t="s">
        <v>1003</v>
      </c>
      <c r="J27" s="219" t="s">
        <v>604</v>
      </c>
      <c r="K27" s="219" t="s">
        <v>1163</v>
      </c>
      <c r="L27" s="220" t="s">
        <v>1122</v>
      </c>
    </row>
    <row r="28" spans="1:12" ht="60.75">
      <c r="A28" s="219">
        <v>960440000151</v>
      </c>
      <c r="B28" s="219" t="s">
        <v>1164</v>
      </c>
      <c r="C28" s="220" t="s">
        <v>453</v>
      </c>
      <c r="D28" s="221" t="s">
        <v>355</v>
      </c>
      <c r="E28" s="222">
        <v>37714374.109999999</v>
      </c>
      <c r="F28" s="222">
        <v>37714374.109999999</v>
      </c>
      <c r="G28" s="220" t="s">
        <v>1094</v>
      </c>
      <c r="H28" s="219" t="s">
        <v>589</v>
      </c>
      <c r="I28" s="223" t="s">
        <v>1003</v>
      </c>
      <c r="J28" s="219" t="s">
        <v>604</v>
      </c>
      <c r="K28" s="219" t="s">
        <v>1165</v>
      </c>
      <c r="L28" s="220" t="s">
        <v>1096</v>
      </c>
    </row>
    <row r="29" spans="1:12" ht="60.75">
      <c r="A29" s="219">
        <v>960440000151</v>
      </c>
      <c r="B29" s="219" t="s">
        <v>1119</v>
      </c>
      <c r="C29" s="220" t="s">
        <v>453</v>
      </c>
      <c r="D29" s="221" t="s">
        <v>355</v>
      </c>
      <c r="E29" s="222">
        <v>37714374.109999999</v>
      </c>
      <c r="F29" s="222">
        <v>37714374.109999999</v>
      </c>
      <c r="G29" s="220" t="s">
        <v>1094</v>
      </c>
      <c r="H29" s="219" t="s">
        <v>589</v>
      </c>
      <c r="I29" s="223" t="s">
        <v>1003</v>
      </c>
      <c r="J29" s="219" t="s">
        <v>1120</v>
      </c>
      <c r="K29" s="219" t="s">
        <v>1166</v>
      </c>
      <c r="L29" s="220" t="s">
        <v>1096</v>
      </c>
    </row>
    <row r="30" spans="1:12" ht="60.75">
      <c r="A30" s="219">
        <v>960440000151</v>
      </c>
      <c r="B30" s="219" t="s">
        <v>1167</v>
      </c>
      <c r="C30" s="220" t="s">
        <v>453</v>
      </c>
      <c r="D30" s="221" t="s">
        <v>355</v>
      </c>
      <c r="E30" s="222">
        <v>27940867.859999999</v>
      </c>
      <c r="F30" s="222">
        <v>27940867.859999999</v>
      </c>
      <c r="G30" s="220" t="s">
        <v>1094</v>
      </c>
      <c r="H30" s="219" t="s">
        <v>589</v>
      </c>
      <c r="I30" s="223" t="s">
        <v>1003</v>
      </c>
      <c r="J30" s="219" t="s">
        <v>604</v>
      </c>
      <c r="K30" s="219" t="s">
        <v>1168</v>
      </c>
      <c r="L30" s="220" t="s">
        <v>1096</v>
      </c>
    </row>
    <row r="31" spans="1:12" ht="60.75">
      <c r="A31" s="219">
        <v>960440000151</v>
      </c>
      <c r="B31" s="219" t="s">
        <v>1169</v>
      </c>
      <c r="C31" s="220" t="s">
        <v>453</v>
      </c>
      <c r="D31" s="221" t="s">
        <v>355</v>
      </c>
      <c r="E31" s="222">
        <v>27940867.859999999</v>
      </c>
      <c r="F31" s="222">
        <v>27940867.859999999</v>
      </c>
      <c r="G31" s="220" t="s">
        <v>1094</v>
      </c>
      <c r="H31" s="219" t="s">
        <v>589</v>
      </c>
      <c r="I31" s="223" t="s">
        <v>1003</v>
      </c>
      <c r="J31" s="219" t="s">
        <v>604</v>
      </c>
      <c r="K31" s="219" t="s">
        <v>1095</v>
      </c>
      <c r="L31" s="220" t="s">
        <v>1096</v>
      </c>
    </row>
    <row r="32" spans="1:12" ht="30.75">
      <c r="A32" s="219">
        <v>120940011577</v>
      </c>
      <c r="B32" s="219" t="s">
        <v>1162</v>
      </c>
      <c r="C32" s="220" t="s">
        <v>684</v>
      </c>
      <c r="D32" s="221" t="s">
        <v>1130</v>
      </c>
      <c r="E32" s="222">
        <v>27758934</v>
      </c>
      <c r="F32" s="222">
        <v>27758934</v>
      </c>
      <c r="G32" s="220" t="s">
        <v>1094</v>
      </c>
      <c r="H32" s="219" t="s">
        <v>589</v>
      </c>
      <c r="I32" s="223" t="s">
        <v>1003</v>
      </c>
      <c r="J32" s="219" t="s">
        <v>604</v>
      </c>
      <c r="K32" s="219" t="s">
        <v>1163</v>
      </c>
      <c r="L32" s="220" t="s">
        <v>1122</v>
      </c>
    </row>
    <row r="33" spans="1:12" ht="130.5">
      <c r="A33" s="219">
        <v>200740020249</v>
      </c>
      <c r="B33" s="219" t="s">
        <v>1170</v>
      </c>
      <c r="C33" s="220" t="s">
        <v>1171</v>
      </c>
      <c r="D33" s="221" t="s">
        <v>1172</v>
      </c>
      <c r="E33" s="222">
        <v>25761075</v>
      </c>
      <c r="F33" s="222">
        <v>25761075</v>
      </c>
      <c r="G33" s="220" t="s">
        <v>1086</v>
      </c>
      <c r="H33" s="219" t="s">
        <v>589</v>
      </c>
      <c r="I33" s="223" t="s">
        <v>1080</v>
      </c>
      <c r="J33" s="219" t="s">
        <v>590</v>
      </c>
      <c r="K33" s="219" t="s">
        <v>1173</v>
      </c>
      <c r="L33" s="220" t="s">
        <v>1174</v>
      </c>
    </row>
    <row r="34" spans="1:12" ht="30.75">
      <c r="A34" s="219">
        <v>120940011577</v>
      </c>
      <c r="B34" s="219" t="s">
        <v>1175</v>
      </c>
      <c r="C34" s="220" t="s">
        <v>684</v>
      </c>
      <c r="D34" s="221" t="s">
        <v>1130</v>
      </c>
      <c r="E34" s="222">
        <v>24435000</v>
      </c>
      <c r="F34" s="222">
        <v>24435000</v>
      </c>
      <c r="G34" s="220" t="s">
        <v>1094</v>
      </c>
      <c r="H34" s="219" t="s">
        <v>589</v>
      </c>
      <c r="I34" s="223" t="s">
        <v>1003</v>
      </c>
      <c r="J34" s="219" t="s">
        <v>604</v>
      </c>
      <c r="K34" s="219" t="s">
        <v>1176</v>
      </c>
      <c r="L34" s="220" t="s">
        <v>1122</v>
      </c>
    </row>
    <row r="35" spans="1:12" ht="30.75">
      <c r="A35" s="219">
        <v>120940011577</v>
      </c>
      <c r="B35" s="219" t="s">
        <v>1177</v>
      </c>
      <c r="C35" s="220" t="s">
        <v>684</v>
      </c>
      <c r="D35" s="221" t="s">
        <v>1130</v>
      </c>
      <c r="E35" s="222">
        <v>24435000</v>
      </c>
      <c r="F35" s="222">
        <v>24435000</v>
      </c>
      <c r="G35" s="220" t="s">
        <v>1134</v>
      </c>
      <c r="H35" s="219" t="s">
        <v>589</v>
      </c>
      <c r="I35" s="223" t="s">
        <v>1003</v>
      </c>
      <c r="J35" s="219" t="s">
        <v>604</v>
      </c>
      <c r="K35" s="219" t="s">
        <v>1178</v>
      </c>
      <c r="L35" s="220" t="s">
        <v>1122</v>
      </c>
    </row>
    <row r="36" spans="1:12" ht="45.75">
      <c r="A36" s="219">
        <v>980741000528</v>
      </c>
      <c r="B36" s="219" t="s">
        <v>1179</v>
      </c>
      <c r="C36" s="220" t="s">
        <v>377</v>
      </c>
      <c r="D36" s="221" t="s">
        <v>31</v>
      </c>
      <c r="E36" s="222">
        <v>24165000</v>
      </c>
      <c r="F36" s="222">
        <v>24165000</v>
      </c>
      <c r="G36" s="220" t="s">
        <v>1155</v>
      </c>
      <c r="H36" s="219" t="s">
        <v>589</v>
      </c>
      <c r="I36" s="223" t="s">
        <v>116</v>
      </c>
      <c r="J36" s="219" t="s">
        <v>590</v>
      </c>
      <c r="K36" s="219" t="s">
        <v>1180</v>
      </c>
      <c r="L36" s="220" t="s">
        <v>1098</v>
      </c>
    </row>
    <row r="37" spans="1:12" ht="45.75">
      <c r="A37" s="219">
        <v>190940025321</v>
      </c>
      <c r="B37" s="219" t="s">
        <v>1181</v>
      </c>
      <c r="C37" s="220" t="s">
        <v>1078</v>
      </c>
      <c r="D37" s="221" t="s">
        <v>1182</v>
      </c>
      <c r="E37" s="222">
        <v>22500000</v>
      </c>
      <c r="F37" s="222">
        <v>22500000</v>
      </c>
      <c r="G37" s="220" t="s">
        <v>1116</v>
      </c>
      <c r="H37" s="219" t="s">
        <v>589</v>
      </c>
      <c r="I37" s="223" t="s">
        <v>1080</v>
      </c>
      <c r="J37" s="219" t="s">
        <v>590</v>
      </c>
      <c r="K37" s="219" t="s">
        <v>1183</v>
      </c>
      <c r="L37" s="220" t="s">
        <v>1184</v>
      </c>
    </row>
    <row r="38" spans="1:12" ht="76.5">
      <c r="A38" s="219">
        <v>150140008602</v>
      </c>
      <c r="B38" s="219" t="s">
        <v>1185</v>
      </c>
      <c r="C38" s="220" t="s">
        <v>481</v>
      </c>
      <c r="D38" s="221" t="s">
        <v>1186</v>
      </c>
      <c r="E38" s="222">
        <v>22321429</v>
      </c>
      <c r="F38" s="222">
        <v>22321429</v>
      </c>
      <c r="G38" s="220" t="s">
        <v>1086</v>
      </c>
      <c r="H38" s="219" t="s">
        <v>589</v>
      </c>
      <c r="I38" s="223" t="s">
        <v>1080</v>
      </c>
      <c r="J38" s="219" t="s">
        <v>590</v>
      </c>
      <c r="K38" s="219" t="s">
        <v>1187</v>
      </c>
      <c r="L38" s="220" t="s">
        <v>1188</v>
      </c>
    </row>
    <row r="39" spans="1:12" ht="60.75">
      <c r="A39" s="219">
        <v>110740017735</v>
      </c>
      <c r="B39" s="219" t="s">
        <v>1189</v>
      </c>
      <c r="C39" s="220" t="s">
        <v>691</v>
      </c>
      <c r="D39" s="221" t="s">
        <v>31</v>
      </c>
      <c r="E39" s="222">
        <v>20400000</v>
      </c>
      <c r="F39" s="222">
        <v>20400000</v>
      </c>
      <c r="G39" s="220" t="s">
        <v>1086</v>
      </c>
      <c r="H39" s="219" t="s">
        <v>589</v>
      </c>
      <c r="I39" s="223" t="s">
        <v>1080</v>
      </c>
      <c r="J39" s="219" t="s">
        <v>590</v>
      </c>
      <c r="K39" s="219" t="s">
        <v>1190</v>
      </c>
      <c r="L39" s="220" t="s">
        <v>1191</v>
      </c>
    </row>
    <row r="40" spans="1:12" ht="130.5">
      <c r="A40" s="219">
        <v>200740020249</v>
      </c>
      <c r="B40" s="219" t="s">
        <v>1192</v>
      </c>
      <c r="C40" s="220" t="s">
        <v>1171</v>
      </c>
      <c r="D40" s="221" t="s">
        <v>1172</v>
      </c>
      <c r="E40" s="222">
        <v>20238392.850000001</v>
      </c>
      <c r="F40" s="222">
        <v>20238392.850000001</v>
      </c>
      <c r="G40" s="220" t="s">
        <v>1086</v>
      </c>
      <c r="H40" s="219" t="s">
        <v>589</v>
      </c>
      <c r="I40" s="223" t="s">
        <v>1080</v>
      </c>
      <c r="J40" s="219" t="s">
        <v>590</v>
      </c>
      <c r="K40" s="219" t="s">
        <v>1193</v>
      </c>
      <c r="L40" s="220" t="s">
        <v>1174</v>
      </c>
    </row>
  </sheetData>
  <autoFilter ref="A1:L1" xr:uid="{D8F2AA26-0716-4044-84B8-12C487AB6885}">
    <sortState xmlns:xlrd2="http://schemas.microsoft.com/office/spreadsheetml/2017/richdata2" ref="A2:L40">
      <sortCondition descending="1" ref="E1"/>
    </sortState>
  </autoFilter>
  <hyperlinks>
    <hyperlink ref="D23" r:id="rId1" xr:uid="{36262E06-9009-42EE-B7F1-11F1FBEC465E}"/>
    <hyperlink ref="I23" r:id="rId2" xr:uid="{9EFAFF24-D360-4095-A99B-7F3F84B66AB9}"/>
    <hyperlink ref="D29" r:id="rId3" xr:uid="{B086DB11-A87A-4E97-840F-C3F5F1C0CDDF}"/>
    <hyperlink ref="I29" r:id="rId4" xr:uid="{B9D3E938-3B30-4323-AD75-53BCF830AF95}"/>
    <hyperlink ref="D12" r:id="rId5" xr:uid="{CAD99395-E3A2-4478-808C-E3D35C0D49C7}"/>
    <hyperlink ref="I12" r:id="rId6" xr:uid="{52D6B26F-4D16-48A0-B594-F98241D84871}"/>
    <hyperlink ref="D30" r:id="rId7" xr:uid="{FAACEC64-2922-448D-A143-6ED5B6CEED93}"/>
    <hyperlink ref="I30" r:id="rId8" xr:uid="{D8554764-D48E-4483-8B1A-A18B36B6EA6A}"/>
    <hyperlink ref="D28" r:id="rId9" xr:uid="{56613910-CE70-4650-A770-BBB595E5C9A9}"/>
    <hyperlink ref="I28" r:id="rId10" xr:uid="{2CC6EF84-363F-4C30-A558-55E68254505E}"/>
    <hyperlink ref="D10" r:id="rId11" xr:uid="{146E5DF7-7DBE-4CF9-B62A-40890591CCCE}"/>
    <hyperlink ref="I10" r:id="rId12" location="btid=2&amp;sqh=60ffda3316919f1d16de71c1d2f8d65e4d1d1040&amp;tsid=2086590004" xr:uid="{E03A3530-2D4E-44BC-B64D-196C01C6DC4A}"/>
    <hyperlink ref="D9" r:id="rId13" xr:uid="{43BA42C7-82CF-41D3-A5E1-25BAF88DA7C7}"/>
    <hyperlink ref="I9" r:id="rId14" xr:uid="{D852D764-D931-4221-B2E3-9CAED0B79E6D}"/>
    <hyperlink ref="D31" r:id="rId15" xr:uid="{547B0152-FE2B-45A2-BBD8-36B085074D8C}"/>
    <hyperlink ref="I31" r:id="rId16" xr:uid="{AB5F20ED-15B8-4FB9-8872-31DE599EB868}"/>
    <hyperlink ref="D5" r:id="rId17" xr:uid="{7ED7879F-1059-47C0-BB6B-30C4EF267E16}"/>
    <hyperlink ref="I5" r:id="rId18" xr:uid="{376A4731-7DE2-4436-83A3-C637AA3AD69E}"/>
    <hyperlink ref="D17" r:id="rId19" xr:uid="{42581845-D27A-4233-A65E-61DF4A800B3B}"/>
    <hyperlink ref="I17" r:id="rId20" xr:uid="{A26BCD43-45E5-4EED-8187-151ADF06E6ED}"/>
    <hyperlink ref="D22" r:id="rId21" xr:uid="{B3E893CA-25E1-4BA9-B83B-C439D899C47E}"/>
    <hyperlink ref="I22" r:id="rId22" location="btid=2&amp;sqh=9c13c6b5a36efb0d2a77d2a87b9b55ac6d976420&amp;tsid=2083270004" xr:uid="{A9F3EC6C-3F34-4387-ABAB-2F280ECF851D}"/>
    <hyperlink ref="D19" r:id="rId23" xr:uid="{AB4BDD5A-71B2-455F-869C-C8D749D70F9F}"/>
    <hyperlink ref="I19" r:id="rId24" location="btid=2&amp;sqh=9c13c6b5a36efb0d2a77d2a87b9b55ac6d976420&amp;tsid=2083268004" xr:uid="{6C891C52-AC8F-4998-BDA8-7D1A9D8A9EAA}"/>
    <hyperlink ref="D32" r:id="rId25" xr:uid="{F7527233-1303-4E5F-A985-0E53DD26F632}"/>
    <hyperlink ref="I32" r:id="rId26" xr:uid="{31342611-AE92-4EAF-B4DA-B23DB83529AD}"/>
    <hyperlink ref="D27" r:id="rId27" xr:uid="{5979C132-040E-4F1F-8985-E1D0170667A5}"/>
    <hyperlink ref="I27" r:id="rId28" xr:uid="{C5CA5568-B914-41DB-9AF4-7C281573D755}"/>
    <hyperlink ref="D18" r:id="rId29" xr:uid="{CB457AA7-48EC-4E13-8FA7-30C05F740877}"/>
    <hyperlink ref="I18" r:id="rId30" location="/ext(popup:item/4278596/lot)" xr:uid="{D070E21F-0481-44A4-B9EA-5291E6C1F0D5}"/>
    <hyperlink ref="D2" r:id="rId31" xr:uid="{AD6C3617-57FF-4303-B337-C3CC5D31BC0A}"/>
    <hyperlink ref="I2" r:id="rId32" xr:uid="{5419F218-9571-4885-AF7C-C47B2F895673}"/>
    <hyperlink ref="D13" r:id="rId33" xr:uid="{BE413DC5-F678-40B5-B582-636CF7E99089}"/>
    <hyperlink ref="I13" r:id="rId34" xr:uid="{179F5CC4-9D85-4158-8A8E-CE42600ABE39}"/>
    <hyperlink ref="D8" r:id="rId35" xr:uid="{59360C9C-4754-4567-BA54-80AF46EFAC0A}"/>
    <hyperlink ref="I8" r:id="rId36" xr:uid="{EF984355-1114-48B3-B1F1-A172086ABC91}"/>
    <hyperlink ref="D21" r:id="rId37" xr:uid="{570DA572-24F7-42A9-A2EF-5918C8C7119E}"/>
    <hyperlink ref="I21" r:id="rId38" xr:uid="{D7890FE6-E507-4BFF-9267-29E72FDB027E}"/>
    <hyperlink ref="D4" r:id="rId39" xr:uid="{53AF81C1-07BC-464B-9A28-873A6A9E5A26}"/>
    <hyperlink ref="I4" r:id="rId40" xr:uid="{6EF2F707-3F7C-434D-A59D-64EBF56ADA1B}"/>
    <hyperlink ref="D25" r:id="rId41" xr:uid="{1E13EEF4-5EC3-4868-9423-DE7FEDCD6A39}"/>
    <hyperlink ref="I25" r:id="rId42" location="/ext(popup:item/4103670/lot)" xr:uid="{3BEEA21D-0265-499C-A5A7-A5A3FA0A859B}"/>
    <hyperlink ref="D16" r:id="rId43" xr:uid="{4EE14913-F55A-4852-83E4-85971495D297}"/>
    <hyperlink ref="I16" r:id="rId44" xr:uid="{932AACDA-7D51-4DDF-8C51-03C2072DC33A}"/>
    <hyperlink ref="D35" r:id="rId45" xr:uid="{CC2ED10C-7B0A-40E7-B502-CE585E0B889F}"/>
    <hyperlink ref="I35" r:id="rId46" xr:uid="{CE2EA911-14B6-4563-85ED-80473132DFF1}"/>
    <hyperlink ref="D24" r:id="rId47" xr:uid="{EE3666C3-8650-4BBF-8973-D0BDA9ED5AE7}"/>
    <hyperlink ref="I24" r:id="rId48" location="/ext(popup:item/4044203/lot)" xr:uid="{B18F8527-C4AA-48ED-AC85-F0BE90D7574B}"/>
    <hyperlink ref="D36" r:id="rId49" xr:uid="{FA40CFC4-7EBF-424F-A79C-A4B15507C7F5}"/>
    <hyperlink ref="I36" r:id="rId50" location="/ext(popup:item/4043116/lot)" xr:uid="{DE07EC93-7E5C-42D7-8A3A-D9E2F9FDBF09}"/>
    <hyperlink ref="D15" r:id="rId51" xr:uid="{293C46EC-8294-4E7D-975C-EF2D1687850A}"/>
    <hyperlink ref="I15" r:id="rId52" xr:uid="{46E114E4-8674-4399-82DD-0EF4AFCF84CB}"/>
    <hyperlink ref="D3" r:id="rId53" xr:uid="{CCCEC630-F69A-4834-A540-DA8FDBE7E90B}"/>
    <hyperlink ref="I3" r:id="rId54" xr:uid="{1176A576-81D4-405A-949D-715B7A5B4157}"/>
    <hyperlink ref="D34" r:id="rId55" xr:uid="{CA9E670F-33D7-45DF-A4F0-8378FCCBDEE2}"/>
    <hyperlink ref="I34" r:id="rId56" xr:uid="{2E27AAA4-7CA2-4DED-B090-D24F66213695}"/>
    <hyperlink ref="D14" r:id="rId57" xr:uid="{BF674D62-D9F3-4F0E-AD32-A041021A35C1}"/>
    <hyperlink ref="I14" r:id="rId58" location="/ext(popup:item/3869244/lot)" xr:uid="{1B0D0028-B857-4EE1-9C7A-BA58902683D0}"/>
    <hyperlink ref="D6" r:id="rId59" xr:uid="{7614BB8C-8679-4131-9B5B-9E144F5EF1E8}"/>
    <hyperlink ref="I6" r:id="rId60" location="/ext(popup:item/3801802/lot)" xr:uid="{6CA75E25-6477-4DF7-9426-AD6D3B1CC5DF}"/>
    <hyperlink ref="D7" r:id="rId61" xr:uid="{796C012E-D6A0-43CA-9A6A-2E457B6A9960}"/>
    <hyperlink ref="I7" r:id="rId62" xr:uid="{DD5EC077-B6DA-4F7A-BA00-87576B18A6FA}"/>
    <hyperlink ref="D33" r:id="rId63" xr:uid="{DDE48252-E5FA-4D00-969E-0296A1E419B4}"/>
    <hyperlink ref="I33" r:id="rId64" xr:uid="{8A7262DB-E904-4653-A472-6955D8B5D0A4}"/>
    <hyperlink ref="D39" r:id="rId65" xr:uid="{D555D980-FEA4-448C-A154-FB865BE85391}"/>
    <hyperlink ref="I39" r:id="rId66" xr:uid="{DD61F7A0-CFDE-4BD1-90D9-4D3A7D4B0109}"/>
    <hyperlink ref="D11" r:id="rId67" xr:uid="{7FDFB15B-4DB5-4236-A695-312804F5242C}"/>
    <hyperlink ref="I11" r:id="rId68" xr:uid="{50FA956D-926A-4CE6-96FF-D5D1B8B404B7}"/>
    <hyperlink ref="D20" r:id="rId69" xr:uid="{63717752-822A-4A79-8C15-C728F2124F74}"/>
    <hyperlink ref="I20" r:id="rId70" location="/ext(popup:item/3447297/lot)" xr:uid="{FADFEADE-4BA9-4AC7-9BA2-6D2B429F5E6E}"/>
    <hyperlink ref="D38" r:id="rId71" xr:uid="{12789082-6FD9-498B-930C-B3D797B5D185}"/>
    <hyperlink ref="I38" r:id="rId72" xr:uid="{4DB5B153-E1E3-4D37-8CE1-CA6900F74B8E}"/>
    <hyperlink ref="D37" r:id="rId73" xr:uid="{535895DD-4E75-4A87-B4C3-178D3010B9EA}"/>
    <hyperlink ref="I37" r:id="rId74" xr:uid="{E4EE4E5E-B6A0-4DDB-B999-E9997A7170DB}"/>
    <hyperlink ref="D40" r:id="rId75" xr:uid="{31438646-93CE-440B-A207-5E4A94D1818A}"/>
    <hyperlink ref="I40" r:id="rId76" xr:uid="{904D78B7-7555-447C-81DB-A9D8E0BE355D}"/>
    <hyperlink ref="D26" r:id="rId77" xr:uid="{659A3053-D783-4E08-A501-2C82B1E3324E}"/>
    <hyperlink ref="I26" r:id="rId78" xr:uid="{91030669-0C62-41C1-8990-614F8D4AE25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88D81F7F3DF3F4A851D8B0251CD1955" ma:contentTypeVersion="13" ma:contentTypeDescription="Create a new document." ma:contentTypeScope="" ma:versionID="4bf2650ae4b4750b31437f66553bcfb9">
  <xsd:schema xmlns:xsd="http://www.w3.org/2001/XMLSchema" xmlns:xs="http://www.w3.org/2001/XMLSchema" xmlns:p="http://schemas.microsoft.com/office/2006/metadata/properties" xmlns:ns2="092b668f-c793-4c04-9f04-1a0a3598f4bc" xmlns:ns3="bc57e0e6-5779-45ca-862e-fd38aafb20e4" targetNamespace="http://schemas.microsoft.com/office/2006/metadata/properties" ma:root="true" ma:fieldsID="ae64480be1a4b7a0f237f0801aaf3825" ns2:_="" ns3:_="">
    <xsd:import namespace="092b668f-c793-4c04-9f04-1a0a3598f4bc"/>
    <xsd:import namespace="bc57e0e6-5779-45ca-862e-fd38aafb20e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92b668f-c793-4c04-9f04-1a0a3598f4b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54ca462-618a-44ce-b137-4f876b03db9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Location" ma:index="20"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57e0e6-5779-45ca-862e-fd38aafb20e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2b10300c-9020-4ffd-b5ce-fefadf8e2df3}" ma:internalName="TaxCatchAll" ma:showField="CatchAllData" ma:web="bc57e0e6-5779-45ca-862e-fd38aafb20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92b668f-c793-4c04-9f04-1a0a3598f4bc">
      <Terms xmlns="http://schemas.microsoft.com/office/infopath/2007/PartnerControls"/>
    </lcf76f155ced4ddcb4097134ff3c332f>
    <TaxCatchAll xmlns="bc57e0e6-5779-45ca-862e-fd38aafb20e4" xsi:nil="true"/>
  </documentManagement>
</p:properties>
</file>

<file path=customXml/itemProps1.xml><?xml version="1.0" encoding="utf-8"?>
<ds:datastoreItem xmlns:ds="http://schemas.openxmlformats.org/officeDocument/2006/customXml" ds:itemID="{686D2A00-6854-497A-92AF-E0987DC4794F}"/>
</file>

<file path=customXml/itemProps2.xml><?xml version="1.0" encoding="utf-8"?>
<ds:datastoreItem xmlns:ds="http://schemas.openxmlformats.org/officeDocument/2006/customXml" ds:itemID="{D044D2D3-5805-4BE3-9C03-A20E36C2E2AA}"/>
</file>

<file path=customXml/itemProps3.xml><?xml version="1.0" encoding="utf-8"?>
<ds:datastoreItem xmlns:ds="http://schemas.openxmlformats.org/officeDocument/2006/customXml" ds:itemID="{A1A3549A-1023-4DFC-A3A7-4307460CE7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2025-09-16T16:31:20Z</dcterms:created>
  <dcterms:modified xsi:type="dcterms:W3CDTF">2026-07-09T04:56:20Z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0x010100C88D81F7F3DF3F4A851D8B0251CD1955</vt:lpwstr>
  </property>
  <property fmtid="{D5CDD505-2E9C-101B-9397-08002B2CF9AE}" pid="3" name="MediaServiceImageTags">
    <vt:lpwstr/>
  </property>
</Properties>
</file>